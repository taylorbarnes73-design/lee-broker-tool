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eeassoccre.sharepoint.com/sites/leeassociates-newportbeach/Shared Documents/"/>
    </mc:Choice>
  </mc:AlternateContent>
  <xr:revisionPtr revIDLastSave="29" documentId="8_{A25DCDDF-A528-8448-B24D-B34E820798B9}" xr6:coauthVersionLast="47" xr6:coauthVersionMax="47" xr10:uidLastSave="{7AD8A206-BF8A-4BC1-BA0D-0F1DE36BB5F1}"/>
  <workbookProtection workbookAlgorithmName="SHA-512" workbookHashValue="nDkfmn+Iexi71vvYpeEN1BTNBLSuW4lwI01MRz7YGAW0no247YDo4Q577TIDYHpBijQzYpa736Mgs/Go1ocb4w==" workbookSaltValue="Mc/Q3G0m/nRuFJiWMxr+7g==" workbookSpinCount="100000" lockStructure="1"/>
  <bookViews>
    <workbookView xWindow="-26355" yWindow="2925" windowWidth="21600" windowHeight="11295" xr2:uid="{00000000-000D-0000-FFFF-FFFF00000000}"/>
  </bookViews>
  <sheets>
    <sheet name="Sheet1" sheetId="1" r:id="rId1"/>
  </sheets>
  <definedNames>
    <definedName name="_xlnm.Print_Area" localSheetId="0">Sheet1!$A$1:$N$140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8" i="1" l="1"/>
  <c r="E70" i="1" s="1"/>
  <c r="C36" i="1"/>
  <c r="N2" i="1"/>
  <c r="M38" i="1" l="1"/>
  <c r="K140" i="1"/>
  <c r="A139" i="1"/>
  <c r="L137" i="1"/>
  <c r="E131" i="1"/>
  <c r="L130" i="1"/>
  <c r="K130" i="1"/>
  <c r="H130" i="1"/>
  <c r="G130" i="1"/>
  <c r="F130" i="1"/>
  <c r="L129" i="1"/>
  <c r="K129" i="1"/>
  <c r="H129" i="1"/>
  <c r="G129" i="1"/>
  <c r="F129" i="1"/>
  <c r="L128" i="1"/>
  <c r="K128" i="1"/>
  <c r="H128" i="1"/>
  <c r="G128" i="1"/>
  <c r="F128" i="1"/>
  <c r="L127" i="1"/>
  <c r="K127" i="1"/>
  <c r="H127" i="1"/>
  <c r="G127" i="1"/>
  <c r="F127" i="1"/>
  <c r="L126" i="1"/>
  <c r="K126" i="1"/>
  <c r="H126" i="1"/>
  <c r="G126" i="1"/>
  <c r="F126" i="1"/>
  <c r="L125" i="1"/>
  <c r="K125" i="1"/>
  <c r="H125" i="1"/>
  <c r="L124" i="1"/>
  <c r="K124" i="1"/>
  <c r="H124" i="1"/>
  <c r="A119" i="1"/>
  <c r="E107" i="1"/>
  <c r="L102" i="1"/>
  <c r="L119" i="1" s="1"/>
  <c r="D137" i="1" s="1"/>
  <c r="C98" i="1"/>
  <c r="C96" i="1"/>
  <c r="A68" i="1"/>
  <c r="L67" i="1"/>
  <c r="F67" i="1"/>
  <c r="C67" i="1"/>
  <c r="L66" i="1"/>
  <c r="F66" i="1"/>
  <c r="C66" i="1"/>
  <c r="L65" i="1"/>
  <c r="F65" i="1"/>
  <c r="C65" i="1"/>
  <c r="L64" i="1"/>
  <c r="F64" i="1"/>
  <c r="C64" i="1"/>
  <c r="L63" i="1"/>
  <c r="F63" i="1"/>
  <c r="C63" i="1"/>
  <c r="L62" i="1"/>
  <c r="F62" i="1"/>
  <c r="C62" i="1"/>
  <c r="L61" i="1"/>
  <c r="F61" i="1"/>
  <c r="C61" i="1"/>
  <c r="L60" i="1"/>
  <c r="F60" i="1"/>
  <c r="C60" i="1"/>
  <c r="L59" i="1"/>
  <c r="F59" i="1"/>
  <c r="C59" i="1"/>
  <c r="L58" i="1"/>
  <c r="F58" i="1"/>
  <c r="C58" i="1"/>
  <c r="L57" i="1"/>
  <c r="F57" i="1"/>
  <c r="C57" i="1"/>
  <c r="C56" i="1"/>
  <c r="F56" i="1"/>
  <c r="L56" i="1"/>
  <c r="C55" i="1"/>
  <c r="F55" i="1"/>
  <c r="L55" i="1"/>
  <c r="L53" i="1"/>
  <c r="M44" i="1"/>
  <c r="L72" i="1" s="1"/>
  <c r="J44" i="1"/>
  <c r="J43" i="1"/>
  <c r="F43" i="1"/>
  <c r="M37" i="1"/>
  <c r="C54" i="1"/>
  <c r="F54" i="1"/>
  <c r="L54" i="1"/>
  <c r="G124" i="1"/>
  <c r="G125" i="1"/>
  <c r="J42" i="1"/>
  <c r="C53" i="1" l="1"/>
  <c r="F53" i="1" s="1"/>
  <c r="F68" i="1" s="1"/>
  <c r="N126" i="1"/>
  <c r="L131" i="1"/>
  <c r="N129" i="1"/>
  <c r="N127" i="1"/>
  <c r="G131" i="1"/>
  <c r="N130" i="1"/>
  <c r="H131" i="1"/>
  <c r="N128" i="1"/>
  <c r="L68" i="1"/>
  <c r="L76" i="1" s="1"/>
  <c r="L118" i="1" s="1"/>
  <c r="B137" i="1" s="1"/>
  <c r="K131" i="1"/>
  <c r="B72" i="1" l="1"/>
  <c r="F38" i="1"/>
  <c r="B76" i="1"/>
  <c r="L120" i="1"/>
  <c r="F124" i="1" l="1"/>
  <c r="F125" i="1"/>
  <c r="N125" i="1" s="1"/>
  <c r="F131" i="1" l="1"/>
  <c r="F137" i="1" s="1"/>
  <c r="N124" i="1"/>
  <c r="J137" i="1" l="1"/>
  <c r="M137" i="1" s="1"/>
  <c r="N137" i="1" s="1"/>
  <c r="N131" i="1"/>
</calcChain>
</file>

<file path=xl/sharedStrings.xml><?xml version="1.0" encoding="utf-8"?>
<sst xmlns="http://schemas.openxmlformats.org/spreadsheetml/2006/main" count="441" uniqueCount="379">
  <si>
    <r>
      <t xml:space="preserve">Lease/Sale Commission &amp; Comp Voucher </t>
    </r>
    <r>
      <rPr>
        <sz val="11"/>
        <color rgb="FF500050"/>
        <rFont val="Times New Roman"/>
        <family val="1"/>
      </rPr>
      <t>(rev. 3/4/25)</t>
    </r>
  </si>
  <si>
    <t>Confidential?</t>
  </si>
  <si>
    <t>Date Filled</t>
  </si>
  <si>
    <t>Transaction Type</t>
  </si>
  <si>
    <t>Prop Type</t>
  </si>
  <si>
    <t>Active Listing?</t>
  </si>
  <si>
    <t>Close this Listing?</t>
  </si>
  <si>
    <t>If Deal/Property type is other, explain:</t>
  </si>
  <si>
    <r>
      <t xml:space="preserve">Please be sure to </t>
    </r>
    <r>
      <rPr>
        <b/>
        <i/>
        <u/>
        <sz val="8"/>
        <color rgb="FFFF0000"/>
        <rFont val="Arial"/>
        <family val="2"/>
      </rPr>
      <t>"Enable Macro's"</t>
    </r>
    <r>
      <rPr>
        <i/>
        <sz val="8"/>
        <color rgb="FFFF0000"/>
        <rFont val="Arial"/>
        <family val="2"/>
      </rPr>
      <t xml:space="preserve"> when using this form. Failure to do so will hinder functionality.</t>
    </r>
  </si>
  <si>
    <t>Property Street Address</t>
  </si>
  <si>
    <t>City</t>
  </si>
  <si>
    <t>Zip Code</t>
  </si>
  <si>
    <t>Do you want to Invoice the Lessor/Seller?</t>
  </si>
  <si>
    <t>Do you want to Invoice the Lessee/Buyer?</t>
  </si>
  <si>
    <t>Lessor/Seller</t>
  </si>
  <si>
    <t>Lessee/Buyer</t>
  </si>
  <si>
    <t>Contact Name</t>
  </si>
  <si>
    <t xml:space="preserve">Email </t>
  </si>
  <si>
    <t>Address</t>
  </si>
  <si>
    <t>State</t>
  </si>
  <si>
    <t>Zip</t>
  </si>
  <si>
    <t>Phone</t>
  </si>
  <si>
    <t>PROPERTY INFORMATION (Mandatory completion all that apply)</t>
  </si>
  <si>
    <t>Suite/Unit</t>
  </si>
  <si>
    <t>Occ. Type</t>
  </si>
  <si>
    <t>Deal Type</t>
  </si>
  <si>
    <t>Prior Tenant Location</t>
  </si>
  <si>
    <t>Deal Sq Ft</t>
  </si>
  <si>
    <t>Sub-Market</t>
  </si>
  <si>
    <t>Const Type</t>
  </si>
  <si>
    <t>Sub-type</t>
  </si>
  <si>
    <t>Land SF</t>
  </si>
  <si>
    <t>Total Bldg SF</t>
  </si>
  <si>
    <t>Ind. SF</t>
  </si>
  <si>
    <t>Whse SF</t>
  </si>
  <si>
    <t>Office SF</t>
  </si>
  <si>
    <t>Retail SF</t>
  </si>
  <si>
    <t>Bldg Class</t>
  </si>
  <si>
    <t>Year Built</t>
  </si>
  <si>
    <t># of Floors</t>
  </si>
  <si>
    <t>Elevators</t>
  </si>
  <si>
    <t># of Elev</t>
  </si>
  <si>
    <t>Parking Type</t>
  </si>
  <si>
    <t># of Spaces</t>
  </si>
  <si>
    <t>Park Ratio</t>
  </si>
  <si>
    <t>Reserved</t>
  </si>
  <si>
    <t>Unreserved</t>
  </si>
  <si>
    <t>Load Factor</t>
  </si>
  <si>
    <t>Opex. $/sf</t>
  </si>
  <si>
    <t>Lease Type</t>
  </si>
  <si>
    <t>Rsrvd $/mo</t>
  </si>
  <si>
    <t>Unrsvd $/mo</t>
  </si>
  <si>
    <t>DH Doors</t>
  </si>
  <si>
    <t>GL Doors</t>
  </si>
  <si>
    <t>Clear Height</t>
  </si>
  <si>
    <t>Sprinklers</t>
  </si>
  <si>
    <t>Amps</t>
  </si>
  <si>
    <t>Rail</t>
  </si>
  <si>
    <t>Yard</t>
  </si>
  <si>
    <t>Bldg Cond.</t>
  </si>
  <si>
    <t>Multi-Tenant</t>
  </si>
  <si>
    <t>POL</t>
  </si>
  <si>
    <r>
      <rPr>
        <b/>
        <sz val="8"/>
        <color rgb="FF333333"/>
        <rFont val="Arial"/>
        <family val="2"/>
      </rPr>
      <t>Additional Comp Comments (</t>
    </r>
    <r>
      <rPr>
        <b/>
        <i/>
        <sz val="8"/>
        <color rgb="FF333333"/>
        <rFont val="Arial"/>
        <family val="2"/>
      </rPr>
      <t>give as much detail as possible</t>
    </r>
    <r>
      <rPr>
        <b/>
        <sz val="8"/>
        <color rgb="FF333333"/>
        <rFont val="Arial"/>
        <family val="2"/>
      </rPr>
      <t>)? HVAC? Expenses? Maintenance? Taxes? Anything you would like to add!</t>
    </r>
  </si>
  <si>
    <t>LEASE TRANSACTION DETAILS</t>
  </si>
  <si>
    <t>SALE TRANSACTION DETAILS</t>
  </si>
  <si>
    <t>Start Date</t>
  </si>
  <si>
    <t>End Date</t>
  </si>
  <si>
    <t>Total Consideration</t>
  </si>
  <si>
    <t>Occupancy Date</t>
  </si>
  <si>
    <t>Term</t>
  </si>
  <si>
    <t>Mths on Mkt</t>
  </si>
  <si>
    <t>Price/Sq.Ft</t>
  </si>
  <si>
    <t>Land Price/Sq.Ft</t>
  </si>
  <si>
    <t>Rate p/sf</t>
  </si>
  <si>
    <t>Property Taxes</t>
  </si>
  <si>
    <t>TI Allow p/sf</t>
  </si>
  <si>
    <t>User,  Investor or Developer</t>
  </si>
  <si>
    <t/>
  </si>
  <si>
    <t>Rate Type</t>
  </si>
  <si>
    <t>Insurance</t>
  </si>
  <si>
    <t>TI Allow Dollars</t>
  </si>
  <si>
    <t>Asking Price</t>
  </si>
  <si>
    <t>Asking Rate p/sf</t>
  </si>
  <si>
    <t>Miscellaneous</t>
  </si>
  <si>
    <t>Grs Eff Rate</t>
  </si>
  <si>
    <t>Cap Rate %</t>
  </si>
  <si>
    <t>Asking type</t>
  </si>
  <si>
    <t>Total NNN Charges</t>
  </si>
  <si>
    <t>IG Eff Rate</t>
  </si>
  <si>
    <t>What is your Commission %</t>
  </si>
  <si>
    <t>Escalations</t>
  </si>
  <si>
    <t>NNN Eff Rate</t>
  </si>
  <si>
    <t>Sale Commission Due</t>
  </si>
  <si>
    <t>Name of Escrow Company</t>
  </si>
  <si>
    <t>Options:</t>
  </si>
  <si>
    <t>Is a check/wire coming from Escrow?</t>
  </si>
  <si>
    <t>Additional Lease Comments you would like added?</t>
  </si>
  <si>
    <t>Monthly &amp; Free Rent</t>
  </si>
  <si>
    <r>
      <rPr>
        <b/>
        <i/>
        <sz val="9"/>
        <color rgb="FF800000"/>
        <rFont val="Arial"/>
        <family val="2"/>
      </rPr>
      <t xml:space="preserve">NOTE: </t>
    </r>
    <r>
      <rPr>
        <b/>
        <i/>
        <sz val="9"/>
        <color rgb="FF800000"/>
        <rFont val="Arial"/>
        <family val="2"/>
      </rPr>
      <t xml:space="preserve">Please be sure to </t>
    </r>
    <r>
      <rPr>
        <b/>
        <i/>
        <sz val="10"/>
        <color rgb="FF800000"/>
        <rFont val="Arial"/>
        <family val="2"/>
      </rPr>
      <t>include the free rent months correctly in the schedule below</t>
    </r>
    <r>
      <rPr>
        <b/>
        <i/>
        <sz val="9"/>
        <color rgb="FF800000"/>
        <rFont val="Arial"/>
        <family val="2"/>
      </rPr>
      <t xml:space="preserve">. </t>
    </r>
    <r>
      <rPr>
        <i/>
        <sz val="9"/>
        <color rgb="FF800000"/>
        <rFont val="Arial"/>
        <family val="2"/>
      </rPr>
      <t>This way the Effective rates calculate correctly! Ex: If the free rent is in the 13th month - enter it that way below.</t>
    </r>
    <r>
      <rPr>
        <b/>
        <i/>
        <sz val="9"/>
        <color rgb="FF800000"/>
        <rFont val="Arial"/>
        <family val="2"/>
      </rPr>
      <t xml:space="preserve"> </t>
    </r>
    <r>
      <rPr>
        <b/>
        <sz val="9"/>
        <color rgb="FF800000"/>
        <rFont val="Arial"/>
        <family val="2"/>
      </rPr>
      <t xml:space="preserve"> </t>
    </r>
    <r>
      <rPr>
        <b/>
        <sz val="9"/>
        <color rgb="FF800000"/>
        <rFont val="Arial"/>
        <family val="2"/>
      </rPr>
      <t>If the terms do not match something is wrong!</t>
    </r>
  </si>
  <si>
    <t>Rate/SF</t>
  </si>
  <si>
    <t>Consideration</t>
  </si>
  <si>
    <t>Rate</t>
  </si>
  <si>
    <t>Commission Due</t>
  </si>
  <si>
    <t>Comm Due</t>
  </si>
  <si>
    <t>Average Rate/SF</t>
  </si>
  <si>
    <t>Additional Bonus OR (Credit/Adjustment)</t>
  </si>
  <si>
    <t>SALE Commission (from above)</t>
  </si>
  <si>
    <t>Average Monthly Rent</t>
  </si>
  <si>
    <t>Consulting/Referral, Flat Fee OR (Credit/Adjustment)</t>
  </si>
  <si>
    <t>TOTAL INVOICE</t>
  </si>
  <si>
    <t>BROKER REPRESENTATION</t>
  </si>
  <si>
    <t>Are the Listing Agent and Procurring Agent the SAME PERSON (?)</t>
  </si>
  <si>
    <t>House name, agent name &amp; city are usually sufficient</t>
  </si>
  <si>
    <t>LISTING AGENT INFORMATION</t>
  </si>
  <si>
    <t>PROCURING AGENT INFORMATION</t>
  </si>
  <si>
    <t>Do you want to Invoice the Listing Agent?</t>
  </si>
  <si>
    <t>Do you want to Invoice the Procuring Agent?</t>
  </si>
  <si>
    <t>House</t>
  </si>
  <si>
    <t>Agent Name</t>
  </si>
  <si>
    <t>If the Listing agent above is not from Lee Newport and you need to pay them a fee from this commission - select YES below</t>
  </si>
  <si>
    <t>If the Procuring agent above is not from Lee Newport and you need to pay them a fee from this commission - select YES below</t>
  </si>
  <si>
    <t>YES or NO</t>
  </si>
  <si>
    <r>
      <rPr>
        <b/>
        <sz val="12"/>
        <color rgb="FFC00000"/>
        <rFont val="Times New Roman"/>
        <family val="1"/>
      </rPr>
      <t xml:space="preserve">OUTSIDE AGENTS </t>
    </r>
    <r>
      <rPr>
        <sz val="12"/>
        <color rgb="FFC00000"/>
        <rFont val="Times New Roman"/>
        <family val="1"/>
      </rPr>
      <t>(Co-operating brokers, referrals, etc.)</t>
    </r>
  </si>
  <si>
    <t>Listing side</t>
  </si>
  <si>
    <t>Amount to Pay</t>
  </si>
  <si>
    <t>Procuring side</t>
  </si>
  <si>
    <t>Use space below to type in a different Co-op/Referral not listed above</t>
  </si>
  <si>
    <t>Name</t>
  </si>
  <si>
    <t>To be paid to Outside Agents</t>
  </si>
  <si>
    <r>
      <rPr>
        <b/>
        <i/>
        <sz val="8"/>
        <color rgb="FF4F6128"/>
        <rFont val="Arial"/>
        <family val="2"/>
      </rPr>
      <t>Please Note:</t>
    </r>
    <r>
      <rPr>
        <i/>
        <sz val="8"/>
        <color rgb="FF4F6128"/>
        <rFont val="Arial"/>
        <family val="2"/>
      </rPr>
      <t xml:space="preserve"> A completed W9 is must be received on all new co-ops/referrals before commissions can be processed. You can find a blank W9 on the intranet</t>
    </r>
  </si>
  <si>
    <t>INVOICE:</t>
  </si>
  <si>
    <t>Invoice a different Company?</t>
  </si>
  <si>
    <t>Address:</t>
  </si>
  <si>
    <t>Special Invoice Instructions</t>
  </si>
  <si>
    <t>Date Due</t>
  </si>
  <si>
    <t>Amt Due</t>
  </si>
  <si>
    <t>COMMISSION DISTRIBUTION</t>
  </si>
  <si>
    <t>Total to be paid to Outside Agents</t>
  </si>
  <si>
    <t xml:space="preserve">GROSS $$ to Distribute </t>
  </si>
  <si>
    <t>AGENT'S NAME</t>
  </si>
  <si>
    <t>Side Represented</t>
  </si>
  <si>
    <t>GROSS</t>
  </si>
  <si>
    <t>Listing Gross</t>
  </si>
  <si>
    <t>Procurring Gross</t>
  </si>
  <si>
    <t>Both GROSS</t>
  </si>
  <si>
    <t>Other Gross</t>
  </si>
  <si>
    <t>Referring Gross</t>
  </si>
  <si>
    <t>NET                              (ck amount)</t>
  </si>
  <si>
    <t>%</t>
  </si>
  <si>
    <t>MUST total 100% &gt;&gt;&gt;&gt;&gt;&gt;&gt;</t>
  </si>
  <si>
    <t>Other:</t>
  </si>
  <si>
    <t>OFFICE USE ONLY</t>
  </si>
  <si>
    <t>Inv Amt</t>
  </si>
  <si>
    <t>Less Coop</t>
  </si>
  <si>
    <t>Agents Gross</t>
  </si>
  <si>
    <t>Agents Net</t>
  </si>
  <si>
    <t>Active Lisitng</t>
  </si>
  <si>
    <t>Total House</t>
  </si>
  <si>
    <t>Total agt/hse</t>
  </si>
  <si>
    <t>COMP Source</t>
  </si>
  <si>
    <t>W9 Requested</t>
  </si>
  <si>
    <t>CONFIDENTIAL</t>
  </si>
  <si>
    <t>SCANNED</t>
  </si>
  <si>
    <t>COMP NUMBER</t>
  </si>
  <si>
    <t>YES   or   NO</t>
  </si>
  <si>
    <t>YES  or  NO</t>
  </si>
  <si>
    <t>Procuring</t>
  </si>
  <si>
    <t>Procuring/Listing</t>
  </si>
  <si>
    <t>Listing</t>
  </si>
  <si>
    <t>Referral</t>
  </si>
  <si>
    <t>Y</t>
  </si>
  <si>
    <t>N</t>
  </si>
  <si>
    <t>NNN</t>
  </si>
  <si>
    <t>IG</t>
  </si>
  <si>
    <t>FSG</t>
  </si>
  <si>
    <t>description</t>
  </si>
  <si>
    <t>SCM</t>
  </si>
  <si>
    <t>IBC</t>
  </si>
  <si>
    <t>SAE</t>
  </si>
  <si>
    <t>WC</t>
  </si>
  <si>
    <t>NM</t>
  </si>
  <si>
    <t>SOC</t>
  </si>
  <si>
    <t>NOC</t>
  </si>
  <si>
    <t>Other</t>
  </si>
  <si>
    <t>A</t>
  </si>
  <si>
    <t>B</t>
  </si>
  <si>
    <t>C</t>
  </si>
  <si>
    <t>D</t>
  </si>
  <si>
    <t>Trophy</t>
  </si>
  <si>
    <t>Low Rise</t>
  </si>
  <si>
    <t>Mid Rise</t>
  </si>
  <si>
    <t>High Rise</t>
  </si>
  <si>
    <t>Flex/R&amp;D</t>
  </si>
  <si>
    <t>Medical</t>
  </si>
  <si>
    <t>Mfg</t>
  </si>
  <si>
    <t>Whse/Dist</t>
  </si>
  <si>
    <t>Light Ind</t>
  </si>
  <si>
    <t>Showroom</t>
  </si>
  <si>
    <t>Multi Ind</t>
  </si>
  <si>
    <t>Multi R&amp;D</t>
  </si>
  <si>
    <t>Automative</t>
  </si>
  <si>
    <t>Ind Zoned</t>
  </si>
  <si>
    <t>Off Zoned</t>
  </si>
  <si>
    <t>Ret Zoned</t>
  </si>
  <si>
    <t>Resi Zoned</t>
  </si>
  <si>
    <t>Retail</t>
  </si>
  <si>
    <t>Investment</t>
  </si>
  <si>
    <t>Land</t>
  </si>
  <si>
    <t>Describe</t>
  </si>
  <si>
    <t>In Acres</t>
  </si>
  <si>
    <t>Lease</t>
  </si>
  <si>
    <t>SubLease</t>
  </si>
  <si>
    <t>Lease Renewal</t>
  </si>
  <si>
    <t>Consulting</t>
  </si>
  <si>
    <t>Sale</t>
  </si>
  <si>
    <t>Other (explain)</t>
  </si>
  <si>
    <t>Industrial</t>
  </si>
  <si>
    <t>Office</t>
  </si>
  <si>
    <t>Self Storage</t>
  </si>
  <si>
    <t>Hospitality</t>
  </si>
  <si>
    <t>Lessee</t>
  </si>
  <si>
    <t>Lessor</t>
  </si>
  <si>
    <t>Seller</t>
  </si>
  <si>
    <t>Buyer</t>
  </si>
  <si>
    <t>Procurring Agent</t>
  </si>
  <si>
    <t>Listing Agent</t>
  </si>
  <si>
    <t>Other - fill out below</t>
  </si>
  <si>
    <t>Procurring/Listing</t>
  </si>
  <si>
    <t>Yes #1</t>
  </si>
  <si>
    <t xml:space="preserve">No </t>
  </si>
  <si>
    <t>Yes #2</t>
  </si>
  <si>
    <t>Brick</t>
  </si>
  <si>
    <t>Block</t>
  </si>
  <si>
    <t>CTU</t>
  </si>
  <si>
    <t>Metal</t>
  </si>
  <si>
    <t>Wood/Stucco</t>
  </si>
  <si>
    <t>Concrete</t>
  </si>
  <si>
    <t>Vacant</t>
  </si>
  <si>
    <t>Occupied</t>
  </si>
  <si>
    <t>Under Construction</t>
  </si>
  <si>
    <t>Automotive</t>
  </si>
  <si>
    <t>Flex</t>
  </si>
  <si>
    <t>Ind. Manu.</t>
  </si>
  <si>
    <t>Medical Office</t>
  </si>
  <si>
    <t>R&amp;D</t>
  </si>
  <si>
    <t xml:space="preserve">Owner </t>
  </si>
  <si>
    <t>Tenant</t>
  </si>
  <si>
    <t>Freestanding</t>
  </si>
  <si>
    <t>POL Bldg</t>
  </si>
  <si>
    <t>Multi-tenant</t>
  </si>
  <si>
    <t>Condo</t>
  </si>
  <si>
    <t>Please Enter City</t>
  </si>
  <si>
    <t>Flourescent</t>
  </si>
  <si>
    <t>Foil</t>
  </si>
  <si>
    <t>Halogen</t>
  </si>
  <si>
    <t>Recessed Skylights</t>
  </si>
  <si>
    <t>Track &amp; Florescent</t>
  </si>
  <si>
    <t>Active</t>
  </si>
  <si>
    <t>Available</t>
  </si>
  <si>
    <t>Installed</t>
  </si>
  <si>
    <t>Unavailable</t>
  </si>
  <si>
    <t>YES</t>
  </si>
  <si>
    <t xml:space="preserve">NO </t>
  </si>
  <si>
    <t>Procurring</t>
  </si>
  <si>
    <t>Both</t>
  </si>
  <si>
    <t>Referring</t>
  </si>
  <si>
    <t>ADLER, FRANK</t>
  </si>
  <si>
    <t>AHERN, SEAN</t>
  </si>
  <si>
    <t>ARGUELLO, TIM</t>
  </si>
  <si>
    <t>BARNETT, CHRIS</t>
  </si>
  <si>
    <t>BARSON, BRIAN</t>
  </si>
  <si>
    <t>BOLT, DAVID</t>
  </si>
  <si>
    <t>CHRISTENSEN, MATT</t>
  </si>
  <si>
    <t>DUMKE, NICK</t>
  </si>
  <si>
    <t>DURKIN, MATT</t>
  </si>
  <si>
    <t>GARBUTT, BRIAN</t>
  </si>
  <si>
    <t>GOULD, KEN</t>
  </si>
  <si>
    <t>GRIFFIN, BOB</t>
  </si>
  <si>
    <t>HARRINGTON, CARTER</t>
  </si>
  <si>
    <t>HIRSCH, JEFF</t>
  </si>
  <si>
    <t>HOGAN, JACK</t>
  </si>
  <si>
    <t>KLUVER, DAVE</t>
  </si>
  <si>
    <t>LAWER, MATT</t>
  </si>
  <si>
    <t>LONG, MIKE</t>
  </si>
  <si>
    <t>MCARDELL, GARY</t>
  </si>
  <si>
    <t>MEJIA, JONATHAN</t>
  </si>
  <si>
    <t>SCHNEIDER, BRAD</t>
  </si>
  <si>
    <t>SHERRATT, ALEJANDRO</t>
  </si>
  <si>
    <t>SMITH, BRENDAN</t>
  </si>
  <si>
    <t>TOLAND, HAYDEN</t>
  </si>
  <si>
    <t>TOLAND, MILES</t>
  </si>
  <si>
    <t>TURNER, RICK</t>
  </si>
  <si>
    <t>WALKER, TIM</t>
  </si>
  <si>
    <t>WEST, THOMAS</t>
  </si>
  <si>
    <t>WINN, CHARLIE</t>
  </si>
  <si>
    <t>NO</t>
  </si>
  <si>
    <t>Lee &amp; Associates - Newport</t>
  </si>
  <si>
    <t>Ashwill - Orange</t>
  </si>
  <si>
    <t>Broadstreet Real Estate Group</t>
  </si>
  <si>
    <t>CBRE - Anaheim</t>
  </si>
  <si>
    <t>CBRE - Newport</t>
  </si>
  <si>
    <t>CNC Commerical Real Estate</t>
  </si>
  <si>
    <t>Colliers - Irvine</t>
  </si>
  <si>
    <t>Colliers - Ontario</t>
  </si>
  <si>
    <t>Cresa Partners</t>
  </si>
  <si>
    <t>Curtis &amp; Associates - Costa Mesa</t>
  </si>
  <si>
    <t>Cushman &amp; Wakefield - Irvine</t>
  </si>
  <si>
    <t>Cushman &amp; Wakefield - South Bay</t>
  </si>
  <si>
    <t>Cushman &amp; Wakefield - Ontario</t>
  </si>
  <si>
    <t>Daum - Anaheim</t>
  </si>
  <si>
    <t>Daum - Newport</t>
  </si>
  <si>
    <t>Guardian Commerical</t>
  </si>
  <si>
    <t>Hughes Marino</t>
  </si>
  <si>
    <t>Irvine Company - Irvine</t>
  </si>
  <si>
    <t>Jones Lang LaSalle</t>
  </si>
  <si>
    <t>Lee &amp; Associates - Calabasas</t>
  </si>
  <si>
    <t>Lee &amp; Associates - Carlsbad</t>
  </si>
  <si>
    <t>Lee &amp; Associates - Commerce</t>
  </si>
  <si>
    <t>Lee &amp; Associates - Industry</t>
  </si>
  <si>
    <t>Lee &amp; Associates - Irvine</t>
  </si>
  <si>
    <t>Lee &amp; Associates - ISG</t>
  </si>
  <si>
    <t>Lee &amp; Associates - Long Beach</t>
  </si>
  <si>
    <t>Lee &amp; Associates - Ontario</t>
  </si>
  <si>
    <t>Lee &amp; Associates - Orange</t>
  </si>
  <si>
    <t>Lee &amp; Associates - Palm Desert</t>
  </si>
  <si>
    <t>Lee &amp; Associates - Phoenix</t>
  </si>
  <si>
    <t>Lee &amp; Associates - Pleasanton</t>
  </si>
  <si>
    <t>Lee &amp; Associates - Riverside</t>
  </si>
  <si>
    <t>Lee &amp; Associates - Sherman Oaks</t>
  </si>
  <si>
    <t>Lee &amp; Associates - South Bay</t>
  </si>
  <si>
    <t>Lee &amp; Associates - LA West</t>
  </si>
  <si>
    <t>Lee &amp; Associates - Stockton</t>
  </si>
  <si>
    <t>Lee &amp; Associates - Temecula</t>
  </si>
  <si>
    <t>Lee &amp; Associates - Victorville</t>
  </si>
  <si>
    <t xml:space="preserve">NAI Capital - Newport </t>
  </si>
  <si>
    <t>Newmark-Knight Frank - Newport Beach (Formerly Grubb)</t>
  </si>
  <si>
    <t>Orion Properties</t>
  </si>
  <si>
    <t xml:space="preserve">PRES - Newport </t>
  </si>
  <si>
    <t>Southwest Commerical</t>
  </si>
  <si>
    <t>Stream Realty</t>
  </si>
  <si>
    <t>Voit - Anaheim</t>
  </si>
  <si>
    <t>Voit - Irvine</t>
  </si>
  <si>
    <t>User</t>
  </si>
  <si>
    <t>Investor</t>
  </si>
  <si>
    <t>Developer</t>
  </si>
  <si>
    <t>Surface</t>
  </si>
  <si>
    <t>Subterranean</t>
  </si>
  <si>
    <t>Sructured</t>
  </si>
  <si>
    <t>CLOSE</t>
  </si>
  <si>
    <t>KEEP OPEN</t>
  </si>
  <si>
    <t>No Listing Broker Co-op</t>
  </si>
  <si>
    <t>Yes</t>
  </si>
  <si>
    <t>No</t>
  </si>
  <si>
    <t>Direct - New</t>
  </si>
  <si>
    <t>Pre-Occupied</t>
  </si>
  <si>
    <t>New Shell</t>
  </si>
  <si>
    <t>Sublease</t>
  </si>
  <si>
    <t>New Deal</t>
  </si>
  <si>
    <t>Expansion</t>
  </si>
  <si>
    <t>Renewal</t>
  </si>
  <si>
    <t>Renew/Expand</t>
  </si>
  <si>
    <t>Build-to-suit</t>
  </si>
  <si>
    <t>Ground Lease</t>
  </si>
  <si>
    <t>P</t>
  </si>
  <si>
    <t>Passenger</t>
  </si>
  <si>
    <t>Frieght</t>
  </si>
  <si>
    <t>GESSFORD, JOHN</t>
  </si>
  <si>
    <t>GRIJALVA, JOHN</t>
  </si>
  <si>
    <t>HIETBRINK, JUDD</t>
  </si>
  <si>
    <t>MADIGAN, STEVE</t>
  </si>
  <si>
    <t>GESSFORD, LIBBY</t>
  </si>
  <si>
    <t>Multi-family</t>
  </si>
  <si>
    <t>Multi-Family</t>
  </si>
  <si>
    <t>MG</t>
  </si>
  <si>
    <t>GILLS, PITZER</t>
  </si>
  <si>
    <t>RAZAZ, NIMA</t>
  </si>
  <si>
    <t>ZACHER, SHANNON</t>
  </si>
  <si>
    <t>DAVIDSON, ETHAN</t>
  </si>
  <si>
    <t>ZACHER, MADDIE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</si>
</sst>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164" formatCode="\ \ \ "/>
    <numFmt numFmtId="165" formatCode="[&lt;=9999999]###\-####;\(###\)\ ###\-####"/>
    <numFmt numFmtId="166" formatCode="_(* #,##0_);_(* \(#,##0\);_(* &quot;-&quot;??_);_(@_)"/>
    <numFmt numFmtId="167" formatCode="_(&quot;$&quot;* #,##0_);_(&quot;$&quot;* \(#,##0\);_(&quot;$&quot;* &quot;-&quot;??_);_(@_)"/>
    <numFmt numFmtId="168" formatCode="0.0"/>
    <numFmt numFmtId="169" formatCode="&quot;$&quot;#,##0.0000"/>
    <numFmt numFmtId="170" formatCode="&quot;$&quot;#,##0.00"/>
    <numFmt numFmtId="171" formatCode="0.0000000%"/>
    <numFmt numFmtId="172" formatCode="00000"/>
    <numFmt numFmtId="173" formatCode="0.00000"/>
    <numFmt numFmtId="174" formatCode="&quot;$&quot;#,##0.00000"/>
    <numFmt numFmtId="175" formatCode="mm/dd/yy"/>
  </numFmts>
  <fonts count="104" x14ac:knownFonts="1">
    <font>
      <sz val="10"/>
      <color rgb="FF000000"/>
      <name val="Arial"/>
      <scheme val="minor"/>
    </font>
    <font>
      <b/>
      <sz val="14"/>
      <color rgb="FF500050"/>
      <name val="Times New Roman"/>
      <family val="1"/>
    </font>
    <font>
      <sz val="10"/>
      <name val="Arial"/>
      <family val="2"/>
    </font>
    <font>
      <b/>
      <sz val="14"/>
      <color rgb="FFFF0000"/>
      <name val="Times New Roman"/>
      <family val="1"/>
    </font>
    <font>
      <b/>
      <sz val="12"/>
      <color rgb="FFFF0000"/>
      <name val="Arial"/>
      <family val="2"/>
    </font>
    <font>
      <b/>
      <sz val="10"/>
      <color rgb="FF452103"/>
      <name val="Arial"/>
      <family val="2"/>
    </font>
    <font>
      <sz val="8"/>
      <color theme="1"/>
      <name val="Arial"/>
      <family val="2"/>
    </font>
    <font>
      <sz val="8"/>
      <color rgb="FF004274"/>
      <name val="Arial"/>
      <family val="2"/>
    </font>
    <font>
      <b/>
      <sz val="9"/>
      <color rgb="FF002948"/>
      <name val="Arial"/>
      <family val="2"/>
    </font>
    <font>
      <b/>
      <sz val="8"/>
      <color rgb="FF002948"/>
      <name val="Arial"/>
      <family val="2"/>
    </font>
    <font>
      <i/>
      <sz val="8"/>
      <color rgb="FF002948"/>
      <name val="Arial"/>
      <family val="2"/>
    </font>
    <font>
      <sz val="8"/>
      <color rgb="FF002948"/>
      <name val="Arial"/>
      <family val="2"/>
    </font>
    <font>
      <b/>
      <sz val="9"/>
      <color rgb="FF0F243E"/>
      <name val="Arial"/>
      <family val="2"/>
    </font>
    <font>
      <b/>
      <sz val="10"/>
      <color rgb="FF002948"/>
      <name val="Arial"/>
      <family val="2"/>
    </font>
    <font>
      <b/>
      <sz val="10"/>
      <color rgb="FF0F243E"/>
      <name val="Arial"/>
      <family val="2"/>
    </font>
    <font>
      <b/>
      <i/>
      <sz val="9"/>
      <color rgb="FF0F243E"/>
      <name val="Arial"/>
      <family val="2"/>
    </font>
    <font>
      <sz val="10"/>
      <color rgb="FF002948"/>
      <name val="Arial"/>
      <family val="2"/>
    </font>
    <font>
      <sz val="9"/>
      <color rgb="FF002948"/>
      <name val="Arial"/>
      <family val="2"/>
    </font>
    <font>
      <b/>
      <u/>
      <sz val="9"/>
      <color rgb="FF002948"/>
      <name val="Arial"/>
      <family val="2"/>
    </font>
    <font>
      <b/>
      <u/>
      <sz val="10"/>
      <color rgb="FF002948"/>
      <name val="Arial"/>
      <family val="2"/>
    </font>
    <font>
      <b/>
      <sz val="12"/>
      <color rgb="FF333333"/>
      <name val="Times New Roman"/>
      <family val="1"/>
    </font>
    <font>
      <sz val="9"/>
      <color rgb="FF333333"/>
      <name val="Arial"/>
      <family val="2"/>
    </font>
    <font>
      <sz val="8"/>
      <color rgb="FF333333"/>
      <name val="Arial"/>
      <family val="2"/>
    </font>
    <font>
      <b/>
      <sz val="9"/>
      <color rgb="FF333333"/>
      <name val="Arial"/>
      <family val="2"/>
    </font>
    <font>
      <sz val="9"/>
      <color theme="1"/>
      <name val="Arial"/>
      <family val="2"/>
    </font>
    <font>
      <b/>
      <sz val="12"/>
      <color rgb="FF3F3151"/>
      <name val="Times New Roman"/>
      <family val="1"/>
    </font>
    <font>
      <sz val="10"/>
      <color theme="1"/>
      <name val="Arial"/>
      <family val="2"/>
    </font>
    <font>
      <b/>
      <sz val="9"/>
      <color rgb="FF260026"/>
      <name val="Arial"/>
      <family val="2"/>
    </font>
    <font>
      <sz val="9"/>
      <color rgb="FF260026"/>
      <name val="Arial"/>
      <family val="2"/>
    </font>
    <font>
      <b/>
      <sz val="9"/>
      <color rgb="FF800000"/>
      <name val="Arial"/>
      <family val="2"/>
    </font>
    <font>
      <sz val="8"/>
      <color rgb="FF260026"/>
      <name val="Arial"/>
      <family val="2"/>
    </font>
    <font>
      <u/>
      <sz val="9"/>
      <color rgb="FF260026"/>
      <name val="Arial"/>
      <family val="2"/>
    </font>
    <font>
      <b/>
      <u/>
      <sz val="9"/>
      <color rgb="FF260026"/>
      <name val="Arial"/>
      <family val="2"/>
    </font>
    <font>
      <b/>
      <sz val="10"/>
      <color rgb="FF3F3151"/>
      <name val="Arial"/>
      <family val="2"/>
    </font>
    <font>
      <sz val="9"/>
      <color rgb="FF500050"/>
      <name val="Arial"/>
      <family val="2"/>
    </font>
    <font>
      <b/>
      <sz val="8"/>
      <color rgb="FF3F3151"/>
      <name val="Arial"/>
      <family val="2"/>
    </font>
    <font>
      <b/>
      <sz val="9"/>
      <color rgb="FF500050"/>
      <name val="Arial"/>
      <family val="2"/>
    </font>
    <font>
      <b/>
      <i/>
      <sz val="8"/>
      <color rgb="FF3F3151"/>
      <name val="Arial"/>
      <family val="2"/>
    </font>
    <font>
      <sz val="10"/>
      <color rgb="FF260026"/>
      <name val="Arial"/>
      <family val="2"/>
    </font>
    <font>
      <b/>
      <i/>
      <sz val="9"/>
      <color rgb="FF260026"/>
      <name val="Arial"/>
      <family val="2"/>
    </font>
    <font>
      <b/>
      <sz val="8"/>
      <color rgb="FF260026"/>
      <name val="Arial"/>
      <family val="2"/>
    </font>
    <font>
      <b/>
      <sz val="8"/>
      <color theme="1"/>
      <name val="Arial"/>
      <family val="2"/>
    </font>
    <font>
      <b/>
      <sz val="10"/>
      <color rgb="FF260026"/>
      <name val="Arial"/>
      <family val="2"/>
    </font>
    <font>
      <b/>
      <i/>
      <sz val="9"/>
      <color rgb="FF800000"/>
      <name val="Arial"/>
      <family val="2"/>
    </font>
    <font>
      <b/>
      <sz val="10"/>
      <color rgb="FF800000"/>
      <name val="Arial"/>
      <family val="2"/>
    </font>
    <font>
      <sz val="10"/>
      <color rgb="FF333333"/>
      <name val="Arial"/>
      <family val="2"/>
    </font>
    <font>
      <b/>
      <sz val="10"/>
      <color theme="1"/>
      <name val="Arial"/>
      <family val="2"/>
    </font>
    <font>
      <sz val="8"/>
      <color rgb="FF262626"/>
      <name val="Arial"/>
      <family val="2"/>
    </font>
    <font>
      <sz val="8"/>
      <color rgb="FF4D4D4D"/>
      <name val="Arial"/>
      <family val="2"/>
    </font>
    <font>
      <b/>
      <sz val="10"/>
      <color rgb="FF4D4D4D"/>
      <name val="Arial"/>
      <family val="2"/>
    </font>
    <font>
      <b/>
      <sz val="9"/>
      <color rgb="FFC00000"/>
      <name val="Arial"/>
      <family val="2"/>
    </font>
    <font>
      <b/>
      <sz val="11"/>
      <color rgb="FF512603"/>
      <name val="Times New Roman"/>
      <family val="1"/>
    </font>
    <font>
      <b/>
      <sz val="10"/>
      <color rgb="FF2E2A3A"/>
      <name val="Arial"/>
      <family val="2"/>
    </font>
    <font>
      <b/>
      <sz val="8"/>
      <color rgb="FF262626"/>
      <name val="Arial"/>
      <family val="2"/>
    </font>
    <font>
      <sz val="9"/>
      <color rgb="FF452103"/>
      <name val="Arial"/>
      <family val="2"/>
    </font>
    <font>
      <b/>
      <sz val="9"/>
      <color rgb="FF452103"/>
      <name val="Arial"/>
      <family val="2"/>
    </font>
    <font>
      <sz val="8"/>
      <color rgb="FF2E2A3A"/>
      <name val="Arial"/>
      <family val="2"/>
    </font>
    <font>
      <sz val="8"/>
      <color rgb="FF452103"/>
      <name val="Arial"/>
      <family val="2"/>
    </font>
    <font>
      <b/>
      <i/>
      <sz val="8"/>
      <color rgb="FFC00000"/>
      <name val="Arial"/>
      <family val="2"/>
    </font>
    <font>
      <sz val="8"/>
      <color rgb="FF974806"/>
      <name val="Arial"/>
      <family val="2"/>
    </font>
    <font>
      <sz val="8"/>
      <color rgb="FF341312"/>
      <name val="Arial"/>
      <family val="2"/>
    </font>
    <font>
      <b/>
      <sz val="8"/>
      <color rgb="FF974806"/>
      <name val="Arial"/>
      <family val="2"/>
    </font>
    <font>
      <b/>
      <sz val="12"/>
      <color rgb="FFC00000"/>
      <name val="Times New Roman"/>
      <family val="1"/>
    </font>
    <font>
      <sz val="12"/>
      <color theme="1"/>
      <name val="Arial"/>
      <family val="2"/>
    </font>
    <font>
      <sz val="9"/>
      <color rgb="FF1B391C"/>
      <name val="Arial"/>
      <family val="2"/>
    </font>
    <font>
      <b/>
      <sz val="9"/>
      <color rgb="FF1B391C"/>
      <name val="Arial"/>
      <family val="2"/>
    </font>
    <font>
      <i/>
      <sz val="9"/>
      <color rgb="FFC00000"/>
      <name val="Arial"/>
      <family val="2"/>
    </font>
    <font>
      <b/>
      <sz val="10"/>
      <color rgb="FFC00000"/>
      <name val="Arial"/>
      <family val="2"/>
    </font>
    <font>
      <sz val="8"/>
      <color rgb="FF232C12"/>
      <name val="Arial"/>
      <family val="2"/>
    </font>
    <font>
      <i/>
      <sz val="8"/>
      <color rgb="FFFF0000"/>
      <name val="Arial"/>
      <family val="2"/>
    </font>
    <font>
      <sz val="8"/>
      <color rgb="FF1B391C"/>
      <name val="Arial"/>
      <family val="2"/>
    </font>
    <font>
      <sz val="8"/>
      <color rgb="FF552525"/>
      <name val="Arial"/>
      <family val="2"/>
    </font>
    <font>
      <i/>
      <sz val="8"/>
      <color rgb="FF4F6128"/>
      <name val="Arial"/>
      <family val="2"/>
    </font>
    <font>
      <b/>
      <sz val="10"/>
      <color rgb="FF002060"/>
      <name val="Arial"/>
      <family val="2"/>
    </font>
    <font>
      <b/>
      <sz val="9"/>
      <color rgb="FF002060"/>
      <name val="Arial"/>
      <family val="2"/>
    </font>
    <font>
      <sz val="9"/>
      <color rgb="FF002060"/>
      <name val="Arial"/>
      <family val="2"/>
    </font>
    <font>
      <sz val="8"/>
      <color rgb="FF002060"/>
      <name val="Arial"/>
      <family val="2"/>
    </font>
    <font>
      <b/>
      <sz val="12"/>
      <color rgb="FF452103"/>
      <name val="Times New Roman"/>
      <family val="1"/>
    </font>
    <font>
      <b/>
      <sz val="10"/>
      <color rgb="FF292929"/>
      <name val="Arial"/>
      <family val="2"/>
    </font>
    <font>
      <b/>
      <sz val="10"/>
      <color rgb="FF381514"/>
      <name val="Arial"/>
      <family val="2"/>
    </font>
    <font>
      <b/>
      <sz val="14"/>
      <color theme="1"/>
      <name val="Arial"/>
      <family val="2"/>
    </font>
    <font>
      <b/>
      <sz val="11"/>
      <color rgb="FF260026"/>
      <name val="Arial"/>
      <family val="2"/>
    </font>
    <font>
      <sz val="8"/>
      <color rgb="FF2B2137"/>
      <name val="Arial"/>
      <family val="2"/>
    </font>
    <font>
      <sz val="7"/>
      <color rgb="FF2B2137"/>
      <name val="Arial"/>
      <family val="2"/>
    </font>
    <font>
      <b/>
      <sz val="8"/>
      <color rgb="FF2B2137"/>
      <name val="Arial"/>
      <family val="2"/>
    </font>
    <font>
      <b/>
      <sz val="7"/>
      <color rgb="FF2B2137"/>
      <name val="Arial"/>
      <family val="2"/>
    </font>
    <font>
      <sz val="7"/>
      <color theme="1"/>
      <name val="Arial"/>
      <family val="2"/>
    </font>
    <font>
      <b/>
      <sz val="10"/>
      <color rgb="FF2B2137"/>
      <name val="Arial"/>
      <family val="2"/>
    </font>
    <font>
      <sz val="11"/>
      <color theme="1"/>
      <name val="Calibri"/>
      <family val="2"/>
    </font>
    <font>
      <sz val="8"/>
      <color rgb="FFFF0000"/>
      <name val="Arial"/>
      <family val="2"/>
    </font>
    <font>
      <sz val="11"/>
      <color rgb="FF500050"/>
      <name val="Times New Roman"/>
      <family val="1"/>
    </font>
    <font>
      <b/>
      <i/>
      <sz val="10"/>
      <color rgb="FF800000"/>
      <name val="Arial"/>
      <family val="2"/>
    </font>
    <font>
      <i/>
      <sz val="9"/>
      <color rgb="FF800000"/>
      <name val="Arial"/>
      <family val="2"/>
    </font>
    <font>
      <sz val="12"/>
      <color rgb="FFC00000"/>
      <name val="Times New Roman"/>
      <family val="1"/>
    </font>
    <font>
      <b/>
      <i/>
      <sz val="8"/>
      <color rgb="FF4F6128"/>
      <name val="Arial"/>
      <family val="2"/>
    </font>
    <font>
      <b/>
      <sz val="8"/>
      <color rgb="FF333333"/>
      <name val="Arial"/>
      <family val="2"/>
    </font>
    <font>
      <b/>
      <i/>
      <sz val="8"/>
      <color rgb="FF333333"/>
      <name val="Arial"/>
      <family val="2"/>
    </font>
    <font>
      <sz val="8"/>
      <name val="Arial"/>
      <family val="2"/>
    </font>
    <font>
      <sz val="9"/>
      <name val="Arial"/>
      <family val="2"/>
    </font>
    <font>
      <sz val="9"/>
      <color rgb="FF2E2A3A"/>
      <name val="Arial"/>
      <family val="2"/>
    </font>
    <font>
      <b/>
      <sz val="9"/>
      <name val="Arial"/>
      <family val="2"/>
    </font>
    <font>
      <sz val="6"/>
      <color rgb="FF244061"/>
      <name val="Arial"/>
      <family val="2"/>
    </font>
    <font>
      <b/>
      <i/>
      <u/>
      <sz val="8"/>
      <color rgb="FFFF0000"/>
      <name val="Arial"/>
      <family val="2"/>
    </font>
    <font>
      <b/>
      <sz val="10"/>
      <color rgb="FFFF0000"/>
      <name val="Arial"/>
      <family val="2"/>
    </font>
  </fonts>
  <fills count="58">
    <fill>
      <patternFill patternType="none"/>
    </fill>
    <fill>
      <patternFill patternType="gray125"/>
    </fill>
    <fill>
      <patternFill patternType="solid">
        <fgColor theme="0"/>
        <bgColor rgb="FFFFFFAB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65FFB2"/>
      </patternFill>
    </fill>
    <fill>
      <patternFill patternType="solid">
        <fgColor theme="0"/>
        <bgColor rgb="FFEFFBFF"/>
      </patternFill>
    </fill>
    <fill>
      <patternFill patternType="solid">
        <fgColor theme="0"/>
        <bgColor rgb="FF97E4FF"/>
      </patternFill>
    </fill>
    <fill>
      <patternFill patternType="solid">
        <fgColor theme="0"/>
        <bgColor rgb="FFFFF7F7"/>
      </patternFill>
    </fill>
    <fill>
      <patternFill patternType="solid">
        <fgColor theme="0"/>
        <bgColor rgb="FFE5FFF8"/>
      </patternFill>
    </fill>
    <fill>
      <patternFill patternType="solid">
        <fgColor theme="0"/>
        <bgColor rgb="FFE5F2FF"/>
      </patternFill>
    </fill>
    <fill>
      <patternFill patternType="solid">
        <fgColor theme="0"/>
        <bgColor rgb="FF9BFFE5"/>
      </patternFill>
    </fill>
    <fill>
      <patternFill patternType="solid">
        <fgColor theme="0"/>
        <bgColor rgb="FFB5A6CA"/>
      </patternFill>
    </fill>
    <fill>
      <patternFill patternType="solid">
        <fgColor theme="0"/>
        <bgColor rgb="FFF9A9F9"/>
      </patternFill>
    </fill>
    <fill>
      <patternFill patternType="solid">
        <fgColor theme="0"/>
        <bgColor rgb="FFEDEAF2"/>
      </patternFill>
    </fill>
    <fill>
      <patternFill patternType="solid">
        <fgColor theme="0"/>
        <bgColor rgb="FFFEF0FE"/>
      </patternFill>
    </fill>
    <fill>
      <patternFill patternType="solid">
        <fgColor theme="0"/>
        <bgColor rgb="FFE5DFEC"/>
      </patternFill>
    </fill>
    <fill>
      <patternFill patternType="solid">
        <fgColor theme="0"/>
        <bgColor rgb="FFFCCCFC"/>
      </patternFill>
    </fill>
    <fill>
      <patternFill patternType="solid">
        <fgColor theme="0"/>
        <bgColor rgb="FFCEC5DD"/>
      </patternFill>
    </fill>
    <fill>
      <patternFill patternType="solid">
        <fgColor theme="0"/>
        <bgColor rgb="FFEFECF4"/>
      </patternFill>
    </fill>
    <fill>
      <patternFill patternType="solid">
        <fgColor theme="0"/>
        <bgColor rgb="FFCCC0D9"/>
      </patternFill>
    </fill>
    <fill>
      <patternFill patternType="solid">
        <fgColor theme="0"/>
        <bgColor rgb="FFFBBDFB"/>
      </patternFill>
    </fill>
    <fill>
      <patternFill patternType="solid">
        <fgColor theme="0"/>
        <bgColor rgb="FFB8CCE4"/>
      </patternFill>
    </fill>
    <fill>
      <patternFill patternType="solid">
        <fgColor theme="0"/>
        <bgColor rgb="FFFBFAFC"/>
      </patternFill>
    </fill>
    <fill>
      <patternFill patternType="solid">
        <fgColor theme="0"/>
        <bgColor rgb="FFFABF8F"/>
      </patternFill>
    </fill>
    <fill>
      <patternFill patternType="solid">
        <fgColor theme="0"/>
        <bgColor rgb="FFFEF9F4"/>
      </patternFill>
    </fill>
    <fill>
      <patternFill patternType="solid">
        <fgColor theme="0"/>
        <bgColor rgb="FFBDFFFF"/>
      </patternFill>
    </fill>
    <fill>
      <patternFill patternType="solid">
        <fgColor theme="0"/>
        <bgColor rgb="FFDAEEF3"/>
      </patternFill>
    </fill>
    <fill>
      <patternFill patternType="solid">
        <fgColor theme="0"/>
        <bgColor rgb="FFF3F9FB"/>
      </patternFill>
    </fill>
    <fill>
      <patternFill patternType="solid">
        <fgColor theme="0"/>
        <bgColor rgb="FFDBE5F1"/>
      </patternFill>
    </fill>
    <fill>
      <patternFill patternType="solid">
        <fgColor theme="0"/>
        <bgColor rgb="FFF9FCFD"/>
      </patternFill>
    </fill>
    <fill>
      <patternFill patternType="solid">
        <fgColor theme="0"/>
        <bgColor rgb="FFFEF4FE"/>
      </patternFill>
    </fill>
    <fill>
      <patternFill patternType="solid">
        <fgColor theme="0"/>
        <bgColor rgb="FFF0D5D4"/>
      </patternFill>
    </fill>
    <fill>
      <patternFill patternType="solid">
        <fgColor theme="0"/>
        <bgColor rgb="FFFDF9F9"/>
      </patternFill>
    </fill>
    <fill>
      <patternFill patternType="solid">
        <fgColor theme="0"/>
        <bgColor rgb="FFD6E1BD"/>
      </patternFill>
    </fill>
    <fill>
      <patternFill patternType="solid">
        <fgColor theme="0"/>
        <bgColor rgb="FFFAF0F0"/>
      </patternFill>
    </fill>
    <fill>
      <patternFill patternType="solid">
        <fgColor theme="0"/>
        <bgColor rgb="FFF2DBDB"/>
      </patternFill>
    </fill>
    <fill>
      <patternFill patternType="solid">
        <fgColor theme="6" tint="0.59999389629810485"/>
        <bgColor rgb="FF97E4FF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9389629810485"/>
        <bgColor rgb="FFDDF6FF"/>
      </patternFill>
    </fill>
    <fill>
      <patternFill patternType="solid">
        <fgColor theme="6" tint="0.59999389629810485"/>
        <bgColor rgb="FF93E3FF"/>
      </patternFill>
    </fill>
    <fill>
      <patternFill patternType="solid">
        <fgColor theme="6" tint="0.59999389629810485"/>
        <bgColor rgb="FFC5F0FF"/>
      </patternFill>
    </fill>
    <fill>
      <patternFill patternType="solid">
        <fgColor theme="6" tint="0.59999389629810485"/>
        <bgColor rgb="FFFFDDDD"/>
      </patternFill>
    </fill>
    <fill>
      <patternFill patternType="solid">
        <fgColor theme="6" tint="0.59999389629810485"/>
        <bgColor rgb="FFC9E4FF"/>
      </patternFill>
    </fill>
    <fill>
      <patternFill patternType="solid">
        <fgColor theme="6" tint="0.59999389629810485"/>
        <bgColor rgb="FFE5B8B7"/>
      </patternFill>
    </fill>
    <fill>
      <patternFill patternType="solid">
        <fgColor theme="6" tint="0.59999389629810485"/>
        <bgColor rgb="FF9BFFE5"/>
      </patternFill>
    </fill>
    <fill>
      <patternFill patternType="solid">
        <fgColor theme="6" tint="0.59999389629810485"/>
        <bgColor rgb="FFB2A1C7"/>
      </patternFill>
    </fill>
    <fill>
      <patternFill patternType="solid">
        <fgColor theme="6" tint="0.59999389629810485"/>
        <bgColor rgb="FFFCCCFC"/>
      </patternFill>
    </fill>
    <fill>
      <patternFill patternType="solid">
        <fgColor theme="6" tint="0.59999389629810485"/>
        <bgColor rgb="FFCEC5DD"/>
      </patternFill>
    </fill>
    <fill>
      <patternFill patternType="solid">
        <fgColor theme="6" tint="0.59999389629810485"/>
        <bgColor rgb="FF65FFB2"/>
      </patternFill>
    </fill>
    <fill>
      <patternFill patternType="solid">
        <fgColor theme="6" tint="0.59999389629810485"/>
        <bgColor rgb="FFEDEAF2"/>
      </patternFill>
    </fill>
    <fill>
      <patternFill patternType="solid">
        <fgColor theme="6" tint="0.59999389629810485"/>
        <bgColor rgb="FFFABF8F"/>
      </patternFill>
    </fill>
    <fill>
      <patternFill patternType="solid">
        <fgColor theme="6" tint="0.59999389629810485"/>
        <bgColor rgb="FFFDE9D9"/>
      </patternFill>
    </fill>
    <fill>
      <patternFill patternType="solid">
        <fgColor theme="6" tint="0.59999389629810485"/>
        <bgColor rgb="FFFEF9F4"/>
      </patternFill>
    </fill>
    <fill>
      <patternFill patternType="solid">
        <fgColor theme="6" tint="0.59999389629810485"/>
        <bgColor rgb="FFDBE5F1"/>
      </patternFill>
    </fill>
    <fill>
      <patternFill patternType="solid">
        <fgColor theme="6" tint="0.59999389629810485"/>
        <bgColor rgb="FFB8CCE4"/>
      </patternFill>
    </fill>
    <fill>
      <patternFill patternType="solid">
        <fgColor theme="6" tint="0.59999389629810485"/>
        <bgColor rgb="FFF9A9F9"/>
      </patternFill>
    </fill>
    <fill>
      <patternFill patternType="solid">
        <fgColor theme="6" tint="0.59999389629810485"/>
        <bgColor rgb="FFF0D5D4"/>
      </patternFill>
    </fill>
    <fill>
      <patternFill patternType="solid">
        <fgColor theme="6" tint="0.59999389629810485"/>
        <bgColor rgb="FFFDF9F9"/>
      </patternFill>
    </fill>
  </fills>
  <borders count="80">
    <border>
      <left/>
      <right/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rgb="FF000000"/>
      </top>
      <bottom/>
      <diagonal/>
    </border>
    <border>
      <left/>
      <right style="medium">
        <color indexed="64"/>
      </right>
      <top style="medium">
        <color rgb="FF000000"/>
      </top>
      <bottom/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double">
        <color rgb="FF000000"/>
      </top>
      <bottom style="double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63">
    <xf numFmtId="0" fontId="0" fillId="0" borderId="0" xfId="0"/>
    <xf numFmtId="0" fontId="1" fillId="2" borderId="45" xfId="0" applyFont="1" applyFill="1" applyBorder="1" applyAlignment="1">
      <alignment vertical="center"/>
    </xf>
    <xf numFmtId="0" fontId="5" fillId="3" borderId="45" xfId="0" applyFont="1" applyFill="1" applyBorder="1" applyAlignment="1">
      <alignment vertical="center"/>
    </xf>
    <xf numFmtId="0" fontId="6" fillId="3" borderId="0" xfId="0" applyFont="1" applyFill="1" applyAlignment="1">
      <alignment vertical="center"/>
    </xf>
    <xf numFmtId="0" fontId="0" fillId="3" borderId="0" xfId="0" applyFill="1"/>
    <xf numFmtId="0" fontId="1" fillId="2" borderId="4" xfId="0" applyFont="1" applyFill="1" applyBorder="1" applyAlignment="1">
      <alignment vertical="center"/>
    </xf>
    <xf numFmtId="0" fontId="5" fillId="3" borderId="4" xfId="0" applyFont="1" applyFill="1" applyBorder="1" applyAlignment="1">
      <alignment vertical="center"/>
    </xf>
    <xf numFmtId="0" fontId="8" fillId="5" borderId="26" xfId="0" applyFont="1" applyFill="1" applyBorder="1" applyAlignment="1">
      <alignment horizontal="right" vertical="center"/>
    </xf>
    <xf numFmtId="164" fontId="8" fillId="6" borderId="3" xfId="0" applyNumberFormat="1" applyFont="1" applyFill="1" applyBorder="1" applyAlignment="1" applyProtection="1">
      <alignment horizontal="center" vertical="center"/>
      <protection locked="0"/>
    </xf>
    <xf numFmtId="164" fontId="8" fillId="6" borderId="53" xfId="0" applyNumberFormat="1" applyFont="1" applyFill="1" applyBorder="1" applyAlignment="1" applyProtection="1">
      <alignment horizontal="center" vertical="center"/>
      <protection locked="0"/>
    </xf>
    <xf numFmtId="0" fontId="9" fillId="5" borderId="47" xfId="0" applyFont="1" applyFill="1" applyBorder="1" applyAlignment="1">
      <alignment horizontal="center" vertical="center"/>
    </xf>
    <xf numFmtId="0" fontId="11" fillId="5" borderId="39" xfId="0" applyFont="1" applyFill="1" applyBorder="1" applyAlignment="1">
      <alignment vertical="center"/>
    </xf>
    <xf numFmtId="0" fontId="9" fillId="5" borderId="26" xfId="0" applyFont="1" applyFill="1" applyBorder="1" applyAlignment="1">
      <alignment horizontal="center" vertical="center"/>
    </xf>
    <xf numFmtId="0" fontId="12" fillId="6" borderId="54" xfId="0" applyFont="1" applyFill="1" applyBorder="1" applyAlignment="1">
      <alignment horizontal="center"/>
    </xf>
    <xf numFmtId="0" fontId="13" fillId="5" borderId="47" xfId="0" applyFont="1" applyFill="1" applyBorder="1" applyAlignment="1">
      <alignment horizontal="right" vertical="center" wrapText="1"/>
    </xf>
    <xf numFmtId="0" fontId="13" fillId="5" borderId="26" xfId="0" applyFont="1" applyFill="1" applyBorder="1" applyAlignment="1">
      <alignment horizontal="right" vertical="center" wrapText="1"/>
    </xf>
    <xf numFmtId="0" fontId="13" fillId="5" borderId="26" xfId="0" applyFont="1" applyFill="1" applyBorder="1" applyAlignment="1">
      <alignment horizontal="right" vertical="center"/>
    </xf>
    <xf numFmtId="0" fontId="8" fillId="5" borderId="47" xfId="0" applyFont="1" applyFill="1" applyBorder="1" applyAlignment="1">
      <alignment horizontal="right" vertical="center" wrapText="1"/>
    </xf>
    <xf numFmtId="0" fontId="11" fillId="5" borderId="26" xfId="0" applyFont="1" applyFill="1" applyBorder="1" applyAlignment="1">
      <alignment vertical="center"/>
    </xf>
    <xf numFmtId="0" fontId="9" fillId="5" borderId="26" xfId="0" applyFont="1" applyFill="1" applyBorder="1" applyAlignment="1">
      <alignment horizontal="right" vertical="center"/>
    </xf>
    <xf numFmtId="0" fontId="17" fillId="5" borderId="26" xfId="0" applyFont="1" applyFill="1" applyBorder="1" applyAlignment="1">
      <alignment horizontal="right" vertical="center"/>
    </xf>
    <xf numFmtId="0" fontId="11" fillId="5" borderId="26" xfId="0" applyFont="1" applyFill="1" applyBorder="1" applyAlignment="1">
      <alignment horizontal="right" vertical="center"/>
    </xf>
    <xf numFmtId="0" fontId="21" fillId="7" borderId="47" xfId="0" applyFont="1" applyFill="1" applyBorder="1" applyAlignment="1">
      <alignment horizontal="right" vertical="center"/>
    </xf>
    <xf numFmtId="0" fontId="21" fillId="8" borderId="28" xfId="0" applyFont="1" applyFill="1" applyBorder="1" applyAlignment="1">
      <alignment horizontal="right" vertical="center"/>
    </xf>
    <xf numFmtId="0" fontId="21" fillId="8" borderId="40" xfId="0" applyFont="1" applyFill="1" applyBorder="1" applyAlignment="1">
      <alignment horizontal="right" vertical="center"/>
    </xf>
    <xf numFmtId="0" fontId="21" fillId="8" borderId="39" xfId="0" applyFont="1" applyFill="1" applyBorder="1" applyAlignment="1">
      <alignment vertical="center"/>
    </xf>
    <xf numFmtId="0" fontId="24" fillId="3" borderId="0" xfId="0" applyFont="1" applyFill="1" applyAlignment="1">
      <alignment vertical="center"/>
    </xf>
    <xf numFmtId="0" fontId="0" fillId="3" borderId="47" xfId="0" applyFill="1" applyBorder="1"/>
    <xf numFmtId="0" fontId="21" fillId="9" borderId="47" xfId="0" applyFont="1" applyFill="1" applyBorder="1" applyAlignment="1">
      <alignment horizontal="center" vertical="center"/>
    </xf>
    <xf numFmtId="0" fontId="21" fillId="9" borderId="47" xfId="0" applyFont="1" applyFill="1" applyBorder="1" applyAlignment="1">
      <alignment horizontal="right" vertical="center"/>
    </xf>
    <xf numFmtId="0" fontId="21" fillId="8" borderId="47" xfId="0" applyFont="1" applyFill="1" applyBorder="1" applyAlignment="1">
      <alignment horizontal="right" vertical="center"/>
    </xf>
    <xf numFmtId="0" fontId="21" fillId="8" borderId="26" xfId="0" applyFont="1" applyFill="1" applyBorder="1" applyAlignment="1">
      <alignment horizontal="right" vertical="center"/>
    </xf>
    <xf numFmtId="0" fontId="21" fillId="8" borderId="26" xfId="0" applyFont="1" applyFill="1" applyBorder="1" applyAlignment="1">
      <alignment horizontal="right"/>
    </xf>
    <xf numFmtId="0" fontId="2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28" fillId="13" borderId="47" xfId="0" applyFont="1" applyFill="1" applyBorder="1" applyAlignment="1">
      <alignment vertical="center"/>
    </xf>
    <xf numFmtId="0" fontId="27" fillId="13" borderId="26" xfId="0" applyFont="1" applyFill="1" applyBorder="1" applyAlignment="1">
      <alignment horizontal="right" vertical="center"/>
    </xf>
    <xf numFmtId="37" fontId="27" fillId="15" borderId="3" xfId="0" applyNumberFormat="1" applyFont="1" applyFill="1" applyBorder="1" applyAlignment="1">
      <alignment horizontal="center" vertical="center"/>
    </xf>
    <xf numFmtId="0" fontId="28" fillId="14" borderId="24" xfId="0" applyFont="1" applyFill="1" applyBorder="1" applyAlignment="1">
      <alignment horizontal="right" vertical="center"/>
    </xf>
    <xf numFmtId="0" fontId="28" fillId="14" borderId="26" xfId="0" applyFont="1" applyFill="1" applyBorder="1" applyAlignment="1">
      <alignment horizontal="right" vertical="center"/>
    </xf>
    <xf numFmtId="0" fontId="28" fillId="13" borderId="26" xfId="0" applyFont="1" applyFill="1" applyBorder="1" applyAlignment="1">
      <alignment horizontal="center"/>
    </xf>
    <xf numFmtId="0" fontId="28" fillId="13" borderId="26" xfId="0" applyFont="1" applyFill="1" applyBorder="1"/>
    <xf numFmtId="168" fontId="6" fillId="3" borderId="0" xfId="0" applyNumberFormat="1" applyFont="1" applyFill="1" applyAlignment="1">
      <alignment vertical="center"/>
    </xf>
    <xf numFmtId="0" fontId="28" fillId="13" borderId="26" xfId="0" applyFont="1" applyFill="1" applyBorder="1" applyAlignment="1">
      <alignment horizontal="center" vertical="center"/>
    </xf>
    <xf numFmtId="168" fontId="29" fillId="4" borderId="3" xfId="0" applyNumberFormat="1" applyFont="1" applyFill="1" applyBorder="1" applyAlignment="1">
      <alignment horizontal="center" vertical="center"/>
    </xf>
    <xf numFmtId="0" fontId="28" fillId="13" borderId="26" xfId="0" applyFont="1" applyFill="1" applyBorder="1" applyAlignment="1">
      <alignment vertical="center"/>
    </xf>
    <xf numFmtId="0" fontId="28" fillId="14" borderId="39" xfId="0" applyFont="1" applyFill="1" applyBorder="1" applyAlignment="1">
      <alignment horizontal="right" vertical="center"/>
    </xf>
    <xf numFmtId="0" fontId="28" fillId="13" borderId="26" xfId="0" applyFont="1" applyFill="1" applyBorder="1" applyAlignment="1">
      <alignment horizontal="right" vertical="center"/>
    </xf>
    <xf numFmtId="0" fontId="28" fillId="13" borderId="9" xfId="0" applyFont="1" applyFill="1" applyBorder="1" applyAlignment="1">
      <alignment vertical="center"/>
    </xf>
    <xf numFmtId="0" fontId="6" fillId="3" borderId="0" xfId="0" quotePrefix="1" applyFont="1" applyFill="1" applyAlignment="1">
      <alignment vertical="center"/>
    </xf>
    <xf numFmtId="0" fontId="27" fillId="13" borderId="26" xfId="0" applyFont="1" applyFill="1" applyBorder="1" applyAlignment="1">
      <alignment vertical="center"/>
    </xf>
    <xf numFmtId="0" fontId="31" fillId="13" borderId="26" xfId="0" applyFont="1" applyFill="1" applyBorder="1" applyAlignment="1">
      <alignment vertical="center"/>
    </xf>
    <xf numFmtId="0" fontId="31" fillId="13" borderId="26" xfId="0" applyFont="1" applyFill="1" applyBorder="1" applyAlignment="1">
      <alignment horizontal="right" vertical="center"/>
    </xf>
    <xf numFmtId="0" fontId="30" fillId="13" borderId="26" xfId="0" applyFont="1" applyFill="1" applyBorder="1" applyAlignment="1">
      <alignment horizontal="right" vertical="center"/>
    </xf>
    <xf numFmtId="0" fontId="34" fillId="13" borderId="47" xfId="0" applyFont="1" applyFill="1" applyBorder="1" applyAlignment="1">
      <alignment horizontal="right" vertical="center"/>
    </xf>
    <xf numFmtId="0" fontId="23" fillId="18" borderId="26" xfId="0" applyFont="1" applyFill="1" applyBorder="1" applyAlignment="1">
      <alignment vertical="center"/>
    </xf>
    <xf numFmtId="0" fontId="35" fillId="18" borderId="26" xfId="0" applyFont="1" applyFill="1" applyBorder="1" applyAlignment="1">
      <alignment horizontal="right" vertical="center"/>
    </xf>
    <xf numFmtId="0" fontId="28" fillId="14" borderId="24" xfId="0" applyFont="1" applyFill="1" applyBorder="1" applyAlignment="1">
      <alignment vertical="center" wrapText="1"/>
    </xf>
    <xf numFmtId="10" fontId="41" fillId="3" borderId="0" xfId="0" applyNumberFormat="1" applyFont="1" applyFill="1" applyAlignment="1">
      <alignment horizontal="center" vertical="center"/>
    </xf>
    <xf numFmtId="0" fontId="42" fillId="15" borderId="16" xfId="0" applyFont="1" applyFill="1" applyBorder="1" applyAlignment="1">
      <alignment horizontal="center"/>
    </xf>
    <xf numFmtId="10" fontId="42" fillId="17" borderId="17" xfId="0" applyNumberFormat="1" applyFont="1" applyFill="1" applyBorder="1" applyAlignment="1">
      <alignment horizontal="center"/>
    </xf>
    <xf numFmtId="0" fontId="45" fillId="3" borderId="0" xfId="0" applyFont="1" applyFill="1" applyAlignment="1">
      <alignment vertical="center"/>
    </xf>
    <xf numFmtId="0" fontId="27" fillId="13" borderId="30" xfId="0" applyFont="1" applyFill="1" applyBorder="1" applyAlignment="1">
      <alignment vertical="center"/>
    </xf>
    <xf numFmtId="0" fontId="27" fillId="15" borderId="26" xfId="0" applyFont="1" applyFill="1" applyBorder="1" applyAlignment="1">
      <alignment horizontal="right" vertical="center"/>
    </xf>
    <xf numFmtId="0" fontId="41" fillId="3" borderId="0" xfId="0" applyFont="1" applyFill="1" applyAlignment="1">
      <alignment vertical="center"/>
    </xf>
    <xf numFmtId="0" fontId="42" fillId="13" borderId="47" xfId="0" applyFont="1" applyFill="1" applyBorder="1" applyAlignment="1">
      <alignment horizontal="center" vertical="center"/>
    </xf>
    <xf numFmtId="0" fontId="42" fillId="13" borderId="26" xfId="0" applyFont="1" applyFill="1" applyBorder="1" applyAlignment="1">
      <alignment vertical="center"/>
    </xf>
    <xf numFmtId="0" fontId="42" fillId="13" borderId="28" xfId="0" applyFont="1" applyFill="1" applyBorder="1" applyAlignment="1">
      <alignment horizontal="right" vertical="center"/>
    </xf>
    <xf numFmtId="0" fontId="48" fillId="24" borderId="26" xfId="0" applyFont="1" applyFill="1" applyBorder="1" applyAlignment="1">
      <alignment vertical="center"/>
    </xf>
    <xf numFmtId="0" fontId="52" fillId="24" borderId="30" xfId="0" applyFont="1" applyFill="1" applyBorder="1" applyAlignment="1">
      <alignment vertical="center"/>
    </xf>
    <xf numFmtId="0" fontId="22" fillId="3" borderId="0" xfId="0" applyFont="1" applyFill="1" applyAlignment="1">
      <alignment vertical="center"/>
    </xf>
    <xf numFmtId="0" fontId="54" fillId="24" borderId="9" xfId="0" applyFont="1" applyFill="1" applyBorder="1" applyAlignment="1">
      <alignment horizontal="right" vertical="center"/>
    </xf>
    <xf numFmtId="0" fontId="57" fillId="24" borderId="26" xfId="0" applyFont="1" applyFill="1" applyBorder="1" applyAlignment="1">
      <alignment horizontal="left" vertical="center"/>
    </xf>
    <xf numFmtId="0" fontId="56" fillId="24" borderId="39" xfId="0" applyFont="1" applyFill="1" applyBorder="1" applyAlignment="1">
      <alignment vertical="center"/>
    </xf>
    <xf numFmtId="0" fontId="56" fillId="24" borderId="26" xfId="0" applyFont="1" applyFill="1" applyBorder="1" applyAlignment="1">
      <alignment vertical="center"/>
    </xf>
    <xf numFmtId="0" fontId="59" fillId="3" borderId="0" xfId="0" applyFont="1" applyFill="1" applyAlignment="1">
      <alignment vertical="center"/>
    </xf>
    <xf numFmtId="0" fontId="61" fillId="24" borderId="26" xfId="0" applyFont="1" applyFill="1" applyBorder="1" applyAlignment="1">
      <alignment horizontal="left" vertical="center"/>
    </xf>
    <xf numFmtId="0" fontId="61" fillId="24" borderId="9" xfId="0" applyFont="1" applyFill="1" applyBorder="1" applyAlignment="1">
      <alignment horizontal="left" vertical="center"/>
    </xf>
    <xf numFmtId="0" fontId="60" fillId="24" borderId="26" xfId="0" applyFont="1" applyFill="1" applyBorder="1" applyAlignment="1">
      <alignment horizontal="right" vertical="center"/>
    </xf>
    <xf numFmtId="0" fontId="61" fillId="24" borderId="39" xfId="0" applyFont="1" applyFill="1" applyBorder="1" applyAlignment="1">
      <alignment vertical="center"/>
    </xf>
    <xf numFmtId="0" fontId="6" fillId="24" borderId="48" xfId="0" applyFont="1" applyFill="1" applyBorder="1" applyAlignment="1">
      <alignment vertical="center"/>
    </xf>
    <xf numFmtId="0" fontId="6" fillId="24" borderId="4" xfId="0" applyFont="1" applyFill="1" applyBorder="1" applyAlignment="1">
      <alignment vertical="center"/>
    </xf>
    <xf numFmtId="0" fontId="6" fillId="24" borderId="22" xfId="0" applyFont="1" applyFill="1" applyBorder="1" applyAlignment="1">
      <alignment vertical="center"/>
    </xf>
    <xf numFmtId="0" fontId="63" fillId="3" borderId="0" xfId="0" applyFont="1" applyFill="1" applyAlignment="1">
      <alignment vertical="center"/>
    </xf>
    <xf numFmtId="0" fontId="69" fillId="27" borderId="26" xfId="0" applyFont="1" applyFill="1" applyBorder="1"/>
    <xf numFmtId="0" fontId="69" fillId="27" borderId="39" xfId="0" applyFont="1" applyFill="1" applyBorder="1"/>
    <xf numFmtId="0" fontId="68" fillId="27" borderId="47" xfId="0" applyFont="1" applyFill="1" applyBorder="1" applyAlignment="1">
      <alignment vertical="center"/>
    </xf>
    <xf numFmtId="0" fontId="70" fillId="27" borderId="26" xfId="0" applyFont="1" applyFill="1" applyBorder="1" applyAlignment="1">
      <alignment horizontal="right" vertical="center"/>
    </xf>
    <xf numFmtId="0" fontId="71" fillId="3" borderId="0" xfId="0" applyFont="1" applyFill="1" applyAlignment="1">
      <alignment vertical="center"/>
    </xf>
    <xf numFmtId="0" fontId="6" fillId="29" borderId="26" xfId="0" applyFont="1" applyFill="1" applyBorder="1" applyAlignment="1">
      <alignment vertical="center"/>
    </xf>
    <xf numFmtId="0" fontId="30" fillId="30" borderId="26" xfId="0" applyFont="1" applyFill="1" applyBorder="1" applyAlignment="1">
      <alignment horizontal="center"/>
    </xf>
    <xf numFmtId="0" fontId="30" fillId="30" borderId="39" xfId="0" applyFont="1" applyFill="1" applyBorder="1" applyAlignment="1">
      <alignment horizontal="center"/>
    </xf>
    <xf numFmtId="175" fontId="75" fillId="12" borderId="3" xfId="0" applyNumberFormat="1" applyFont="1" applyFill="1" applyBorder="1" applyAlignment="1" applyProtection="1">
      <alignment horizontal="center" vertical="center"/>
      <protection locked="0"/>
    </xf>
    <xf numFmtId="44" fontId="76" fillId="12" borderId="3" xfId="0" applyNumberFormat="1" applyFont="1" applyFill="1" applyBorder="1" applyAlignment="1" applyProtection="1">
      <alignment horizontal="center" vertical="center"/>
      <protection locked="0"/>
    </xf>
    <xf numFmtId="44" fontId="76" fillId="12" borderId="53" xfId="0" applyNumberFormat="1" applyFont="1" applyFill="1" applyBorder="1" applyAlignment="1" applyProtection="1">
      <alignment horizontal="center" vertical="center"/>
      <protection locked="0"/>
    </xf>
    <xf numFmtId="175" fontId="28" fillId="12" borderId="3" xfId="0" applyNumberFormat="1" applyFont="1" applyFill="1" applyBorder="1" applyAlignment="1" applyProtection="1">
      <alignment horizontal="center" vertical="center"/>
      <protection locked="0"/>
    </xf>
    <xf numFmtId="0" fontId="27" fillId="4" borderId="31" xfId="0" applyFont="1" applyFill="1" applyBorder="1" applyAlignment="1">
      <alignment horizontal="center"/>
    </xf>
    <xf numFmtId="0" fontId="27" fillId="4" borderId="34" xfId="0" applyFont="1" applyFill="1" applyBorder="1" applyAlignment="1">
      <alignment horizontal="center"/>
    </xf>
    <xf numFmtId="44" fontId="27" fillId="10" borderId="53" xfId="0" applyNumberFormat="1" applyFont="1" applyFill="1" applyBorder="1" applyAlignment="1">
      <alignment horizontal="center" vertical="center"/>
    </xf>
    <xf numFmtId="10" fontId="27" fillId="4" borderId="3" xfId="0" applyNumberFormat="1" applyFont="1" applyFill="1" applyBorder="1" applyAlignment="1">
      <alignment horizontal="center"/>
    </xf>
    <xf numFmtId="44" fontId="40" fillId="32" borderId="3" xfId="0" applyNumberFormat="1" applyFont="1" applyFill="1" applyBorder="1" applyAlignment="1">
      <alignment horizontal="center"/>
    </xf>
    <xf numFmtId="44" fontId="27" fillId="10" borderId="53" xfId="0" applyNumberFormat="1" applyFont="1" applyFill="1" applyBorder="1" applyAlignment="1">
      <alignment horizontal="center"/>
    </xf>
    <xf numFmtId="0" fontId="82" fillId="12" borderId="47" xfId="0" applyFont="1" applyFill="1" applyBorder="1" applyAlignment="1">
      <alignment vertical="center"/>
    </xf>
    <xf numFmtId="0" fontId="82" fillId="14" borderId="34" xfId="0" applyFont="1" applyFill="1" applyBorder="1" applyAlignment="1">
      <alignment horizontal="center"/>
    </xf>
    <xf numFmtId="44" fontId="82" fillId="12" borderId="26" xfId="0" applyNumberFormat="1" applyFont="1" applyFill="1" applyBorder="1"/>
    <xf numFmtId="44" fontId="82" fillId="14" borderId="3" xfId="0" applyNumberFormat="1" applyFont="1" applyFill="1" applyBorder="1"/>
    <xf numFmtId="0" fontId="82" fillId="12" borderId="26" xfId="0" applyFont="1" applyFill="1" applyBorder="1"/>
    <xf numFmtId="0" fontId="82" fillId="14" borderId="66" xfId="0" applyFont="1" applyFill="1" applyBorder="1" applyAlignment="1">
      <alignment horizontal="center"/>
    </xf>
    <xf numFmtId="44" fontId="82" fillId="14" borderId="34" xfId="0" applyNumberFormat="1" applyFont="1" applyFill="1" applyBorder="1" applyAlignment="1">
      <alignment vertical="center"/>
    </xf>
    <xf numFmtId="0" fontId="82" fillId="12" borderId="26" xfId="0" applyFont="1" applyFill="1" applyBorder="1" applyAlignment="1">
      <alignment vertical="center"/>
    </xf>
    <xf numFmtId="0" fontId="83" fillId="12" borderId="26" xfId="0" applyFont="1" applyFill="1" applyBorder="1" applyAlignment="1">
      <alignment vertical="center"/>
    </xf>
    <xf numFmtId="164" fontId="82" fillId="12" borderId="26" xfId="0" applyNumberFormat="1" applyFont="1" applyFill="1" applyBorder="1" applyAlignment="1">
      <alignment vertical="center"/>
    </xf>
    <xf numFmtId="44" fontId="84" fillId="14" borderId="34" xfId="0" applyNumberFormat="1" applyFont="1" applyFill="1" applyBorder="1" applyAlignment="1">
      <alignment vertical="center"/>
    </xf>
    <xf numFmtId="44" fontId="84" fillId="14" borderId="66" xfId="0" applyNumberFormat="1" applyFont="1" applyFill="1" applyBorder="1" applyAlignment="1">
      <alignment vertical="center"/>
    </xf>
    <xf numFmtId="9" fontId="83" fillId="14" borderId="3" xfId="0" applyNumberFormat="1" applyFont="1" applyFill="1" applyBorder="1" applyAlignment="1">
      <alignment horizontal="center"/>
    </xf>
    <xf numFmtId="0" fontId="83" fillId="14" borderId="3" xfId="0" applyFont="1" applyFill="1" applyBorder="1" applyAlignment="1">
      <alignment horizontal="center"/>
    </xf>
    <xf numFmtId="0" fontId="86" fillId="3" borderId="0" xfId="0" applyFont="1" applyFill="1" applyAlignment="1">
      <alignment vertical="center"/>
    </xf>
    <xf numFmtId="9" fontId="83" fillId="14" borderId="71" xfId="0" applyNumberFormat="1" applyFont="1" applyFill="1" applyBorder="1" applyAlignment="1">
      <alignment horizontal="center" vertical="center"/>
    </xf>
    <xf numFmtId="0" fontId="83" fillId="14" borderId="71" xfId="0" applyFont="1" applyFill="1" applyBorder="1" applyAlignment="1">
      <alignment horizontal="center" vertical="center"/>
    </xf>
    <xf numFmtId="44" fontId="6" fillId="3" borderId="0" xfId="0" applyNumberFormat="1" applyFont="1" applyFill="1" applyAlignment="1">
      <alignment vertical="center"/>
    </xf>
    <xf numFmtId="0" fontId="88" fillId="3" borderId="0" xfId="0" applyFont="1" applyFill="1" applyAlignment="1">
      <alignment vertical="center"/>
    </xf>
    <xf numFmtId="0" fontId="89" fillId="3" borderId="0" xfId="0" applyFont="1" applyFill="1" applyAlignment="1">
      <alignment vertical="center"/>
    </xf>
    <xf numFmtId="10" fontId="6" fillId="3" borderId="0" xfId="0" applyNumberFormat="1" applyFont="1" applyFill="1" applyAlignment="1">
      <alignment vertical="center"/>
    </xf>
    <xf numFmtId="0" fontId="8" fillId="36" borderId="3" xfId="0" applyFont="1" applyFill="1" applyBorder="1" applyAlignment="1" applyProtection="1">
      <alignment vertical="center"/>
      <protection locked="0"/>
    </xf>
    <xf numFmtId="0" fontId="15" fillId="38" borderId="53" xfId="0" applyFont="1" applyFill="1" applyBorder="1" applyAlignment="1" applyProtection="1">
      <alignment horizontal="center" vertical="center" wrapText="1"/>
      <protection locked="0"/>
    </xf>
    <xf numFmtId="0" fontId="8" fillId="40" borderId="54" xfId="0" applyFont="1" applyFill="1" applyBorder="1" applyAlignment="1" applyProtection="1">
      <alignment horizontal="left" vertical="center"/>
      <protection locked="0"/>
    </xf>
    <xf numFmtId="166" fontId="95" fillId="41" borderId="35" xfId="0" applyNumberFormat="1" applyFont="1" applyFill="1" applyBorder="1" applyAlignment="1" applyProtection="1">
      <alignment horizontal="center" vertical="center"/>
      <protection locked="0"/>
    </xf>
    <xf numFmtId="0" fontId="95" fillId="42" borderId="3" xfId="0" applyFont="1" applyFill="1" applyBorder="1" applyAlignment="1" applyProtection="1">
      <alignment horizontal="center" vertical="center"/>
      <protection locked="0"/>
    </xf>
    <xf numFmtId="49" fontId="95" fillId="43" borderId="3" xfId="0" applyNumberFormat="1" applyFont="1" applyFill="1" applyBorder="1" applyAlignment="1" applyProtection="1">
      <alignment horizontal="center" vertical="center"/>
      <protection locked="0"/>
    </xf>
    <xf numFmtId="0" fontId="95" fillId="42" borderId="35" xfId="0" applyFont="1" applyFill="1" applyBorder="1" applyAlignment="1" applyProtection="1">
      <alignment horizontal="center" vertical="center"/>
      <protection locked="0"/>
    </xf>
    <xf numFmtId="1" fontId="35" fillId="44" borderId="3" xfId="0" applyNumberFormat="1" applyFont="1" applyFill="1" applyBorder="1" applyAlignment="1" applyProtection="1">
      <alignment horizontal="center" vertical="center"/>
      <protection locked="0"/>
    </xf>
    <xf numFmtId="0" fontId="95" fillId="44" borderId="3" xfId="0" applyFont="1" applyFill="1" applyBorder="1" applyAlignment="1" applyProtection="1">
      <alignment horizontal="center" vertical="center"/>
      <protection locked="0"/>
    </xf>
    <xf numFmtId="0" fontId="95" fillId="43" borderId="3" xfId="0" applyFont="1" applyFill="1" applyBorder="1" applyAlignment="1" applyProtection="1">
      <alignment vertical="center"/>
      <protection locked="0"/>
    </xf>
    <xf numFmtId="49" fontId="95" fillId="41" borderId="35" xfId="0" applyNumberFormat="1" applyFont="1" applyFill="1" applyBorder="1" applyAlignment="1" applyProtection="1">
      <alignment horizontal="center" vertical="center"/>
      <protection locked="0"/>
    </xf>
    <xf numFmtId="166" fontId="95" fillId="41" borderId="3" xfId="0" applyNumberFormat="1" applyFont="1" applyFill="1" applyBorder="1" applyAlignment="1" applyProtection="1">
      <alignment horizontal="center" vertical="center"/>
      <protection locked="0"/>
    </xf>
    <xf numFmtId="49" fontId="95" fillId="42" borderId="3" xfId="0" applyNumberFormat="1" applyFont="1" applyFill="1" applyBorder="1" applyAlignment="1" applyProtection="1">
      <alignment horizontal="center" vertical="center"/>
      <protection locked="0"/>
    </xf>
    <xf numFmtId="167" fontId="95" fillId="42" borderId="35" xfId="0" applyNumberFormat="1" applyFont="1" applyFill="1" applyBorder="1" applyAlignment="1" applyProtection="1">
      <alignment horizontal="center" vertical="center"/>
      <protection locked="0"/>
    </xf>
    <xf numFmtId="1" fontId="95" fillId="44" borderId="3" xfId="0" applyNumberFormat="1" applyFont="1" applyFill="1" applyBorder="1" applyAlignment="1" applyProtection="1">
      <alignment horizontal="center" vertical="center"/>
      <protection locked="0"/>
    </xf>
    <xf numFmtId="1" fontId="95" fillId="42" borderId="35" xfId="0" applyNumberFormat="1" applyFont="1" applyFill="1" applyBorder="1" applyAlignment="1" applyProtection="1">
      <alignment horizontal="center" vertical="center"/>
      <protection locked="0"/>
    </xf>
    <xf numFmtId="0" fontId="95" fillId="41" borderId="3" xfId="0" applyFont="1" applyFill="1" applyBorder="1" applyAlignment="1" applyProtection="1">
      <alignment horizontal="center" vertical="center"/>
      <protection locked="0"/>
    </xf>
    <xf numFmtId="1" fontId="95" fillId="42" borderId="3" xfId="0" applyNumberFormat="1" applyFont="1" applyFill="1" applyBorder="1" applyAlignment="1" applyProtection="1">
      <alignment horizontal="center" vertical="center"/>
      <protection locked="0"/>
    </xf>
    <xf numFmtId="44" fontId="95" fillId="42" borderId="3" xfId="0" applyNumberFormat="1" applyFont="1" applyFill="1" applyBorder="1" applyAlignment="1" applyProtection="1">
      <alignment horizontal="center" vertical="center"/>
      <protection locked="0"/>
    </xf>
    <xf numFmtId="49" fontId="95" fillId="42" borderId="35" xfId="0" applyNumberFormat="1" applyFont="1" applyFill="1" applyBorder="1" applyAlignment="1" applyProtection="1">
      <alignment horizontal="center" vertical="center"/>
      <protection locked="0"/>
    </xf>
    <xf numFmtId="0" fontId="39" fillId="46" borderId="53" xfId="0" applyFont="1" applyFill="1" applyBorder="1" applyAlignment="1" applyProtection="1">
      <alignment horizontal="center" vertical="center" wrapText="1"/>
      <protection locked="0"/>
    </xf>
    <xf numFmtId="169" fontId="27" fillId="45" borderId="3" xfId="0" applyNumberFormat="1" applyFont="1" applyFill="1" applyBorder="1" applyAlignment="1" applyProtection="1">
      <alignment horizontal="center" vertical="center"/>
      <protection locked="0"/>
    </xf>
    <xf numFmtId="170" fontId="27" fillId="45" borderId="3" xfId="0" applyNumberFormat="1" applyFont="1" applyFill="1" applyBorder="1" applyAlignment="1" applyProtection="1">
      <alignment horizontal="center" vertical="center"/>
      <protection locked="0"/>
    </xf>
    <xf numFmtId="169" fontId="27" fillId="47" borderId="3" xfId="0" applyNumberFormat="1" applyFont="1" applyFill="1" applyBorder="1" applyAlignment="1" applyProtection="1">
      <alignment horizontal="center" vertical="center"/>
      <protection locked="0"/>
    </xf>
    <xf numFmtId="170" fontId="27" fillId="47" borderId="3" xfId="0" applyNumberFormat="1" applyFont="1" applyFill="1" applyBorder="1" applyAlignment="1" applyProtection="1">
      <alignment horizontal="center" vertical="center"/>
      <protection locked="0"/>
    </xf>
    <xf numFmtId="10" fontId="27" fillId="47" borderId="3" xfId="0" applyNumberFormat="1" applyFont="1" applyFill="1" applyBorder="1" applyAlignment="1" applyProtection="1">
      <alignment horizontal="center" vertical="center"/>
      <protection locked="0"/>
    </xf>
    <xf numFmtId="44" fontId="27" fillId="47" borderId="3" xfId="0" applyNumberFormat="1" applyFont="1" applyFill="1" applyBorder="1" applyAlignment="1" applyProtection="1">
      <alignment horizontal="center" vertical="center"/>
      <protection locked="0"/>
    </xf>
    <xf numFmtId="44" fontId="27" fillId="47" borderId="13" xfId="0" applyNumberFormat="1" applyFont="1" applyFill="1" applyBorder="1" applyAlignment="1" applyProtection="1">
      <alignment horizontal="center" vertical="center"/>
      <protection locked="0"/>
    </xf>
    <xf numFmtId="44" fontId="32" fillId="47" borderId="13" xfId="0" applyNumberFormat="1" applyFont="1" applyFill="1" applyBorder="1" applyAlignment="1" applyProtection="1">
      <alignment horizontal="center" vertical="center"/>
      <protection locked="0"/>
    </xf>
    <xf numFmtId="44" fontId="27" fillId="47" borderId="3" xfId="0" applyNumberFormat="1" applyFont="1" applyFill="1" applyBorder="1" applyAlignment="1">
      <alignment horizontal="center" vertical="center"/>
    </xf>
    <xf numFmtId="1" fontId="27" fillId="45" borderId="13" xfId="0" applyNumberFormat="1" applyFont="1" applyFill="1" applyBorder="1" applyAlignment="1" applyProtection="1">
      <alignment horizontal="center" vertical="center"/>
      <protection locked="0"/>
    </xf>
    <xf numFmtId="44" fontId="33" fillId="48" borderId="3" xfId="0" applyNumberFormat="1" applyFont="1" applyFill="1" applyBorder="1" applyAlignment="1">
      <alignment horizontal="center" vertical="center"/>
    </xf>
    <xf numFmtId="44" fontId="33" fillId="48" borderId="13" xfId="0" applyNumberFormat="1" applyFont="1" applyFill="1" applyBorder="1" applyAlignment="1">
      <alignment horizontal="center" vertical="center"/>
    </xf>
    <xf numFmtId="173" fontId="28" fillId="49" borderId="34" xfId="0" applyNumberFormat="1" applyFont="1" applyFill="1" applyBorder="1" applyAlignment="1">
      <alignment vertical="center"/>
    </xf>
    <xf numFmtId="10" fontId="28" fillId="47" borderId="34" xfId="0" applyNumberFormat="1" applyFont="1" applyFill="1" applyBorder="1" applyAlignment="1" applyProtection="1">
      <alignment horizontal="center" vertical="center"/>
      <protection locked="0"/>
    </xf>
    <xf numFmtId="0" fontId="49" fillId="48" borderId="3" xfId="0" applyFont="1" applyFill="1" applyBorder="1" applyAlignment="1" applyProtection="1">
      <alignment horizontal="center" vertical="center"/>
      <protection locked="0"/>
    </xf>
    <xf numFmtId="0" fontId="5" fillId="48" borderId="3" xfId="0" applyFont="1" applyFill="1" applyBorder="1" applyAlignment="1" applyProtection="1">
      <alignment horizontal="center" vertical="center"/>
      <protection locked="0"/>
    </xf>
    <xf numFmtId="0" fontId="55" fillId="51" borderId="31" xfId="0" applyFont="1" applyFill="1" applyBorder="1" applyAlignment="1" applyProtection="1">
      <alignment horizontal="left" vertical="center"/>
      <protection locked="0"/>
    </xf>
    <xf numFmtId="0" fontId="54" fillId="52" borderId="26" xfId="0" applyFont="1" applyFill="1" applyBorder="1" applyAlignment="1">
      <alignment horizontal="right" vertical="center"/>
    </xf>
    <xf numFmtId="0" fontId="5" fillId="48" borderId="53" xfId="0" applyFont="1" applyFill="1" applyBorder="1" applyAlignment="1" applyProtection="1">
      <alignment horizontal="center" vertical="center"/>
      <protection locked="0"/>
    </xf>
    <xf numFmtId="0" fontId="55" fillId="51" borderId="3" xfId="0" applyFont="1" applyFill="1" applyBorder="1" applyAlignment="1" applyProtection="1">
      <alignment vertical="center"/>
      <protection locked="0"/>
    </xf>
    <xf numFmtId="0" fontId="99" fillId="52" borderId="3" xfId="0" applyFont="1" applyFill="1" applyBorder="1" applyAlignment="1">
      <alignment horizontal="right" vertical="center"/>
    </xf>
    <xf numFmtId="0" fontId="27" fillId="44" borderId="3" xfId="0" applyFont="1" applyFill="1" applyBorder="1" applyAlignment="1" applyProtection="1">
      <alignment horizontal="right" vertical="center"/>
      <protection locked="0"/>
    </xf>
    <xf numFmtId="10" fontId="27" fillId="48" borderId="34" xfId="0" applyNumberFormat="1" applyFont="1" applyFill="1" applyBorder="1" applyAlignment="1" applyProtection="1">
      <alignment horizontal="center" vertical="center"/>
      <protection locked="0"/>
    </xf>
    <xf numFmtId="44" fontId="30" fillId="57" borderId="3" xfId="0" applyNumberFormat="1" applyFont="1" applyFill="1" applyBorder="1" applyAlignment="1">
      <alignment horizontal="center" vertical="center"/>
    </xf>
    <xf numFmtId="10" fontId="27" fillId="48" borderId="3" xfId="0" applyNumberFormat="1" applyFont="1" applyFill="1" applyBorder="1" applyAlignment="1" applyProtection="1">
      <alignment horizontal="center" vertical="center"/>
      <protection locked="0"/>
    </xf>
    <xf numFmtId="0" fontId="12" fillId="48" borderId="3" xfId="0" applyFont="1" applyFill="1" applyBorder="1" applyAlignment="1" applyProtection="1">
      <alignment horizontal="center" vertical="center"/>
      <protection locked="0"/>
    </xf>
    <xf numFmtId="0" fontId="15" fillId="48" borderId="53" xfId="0" applyFont="1" applyFill="1" applyBorder="1" applyAlignment="1" applyProtection="1">
      <alignment horizontal="center" vertical="center"/>
      <protection locked="0"/>
    </xf>
    <xf numFmtId="0" fontId="101" fillId="3" borderId="46" xfId="0" applyFont="1" applyFill="1" applyBorder="1" applyAlignment="1">
      <alignment horizontal="right" vertical="center"/>
    </xf>
    <xf numFmtId="14" fontId="101" fillId="3" borderId="49" xfId="0" applyNumberFormat="1" applyFont="1" applyFill="1" applyBorder="1" applyAlignment="1">
      <alignment vertical="center"/>
    </xf>
    <xf numFmtId="0" fontId="103" fillId="13" borderId="9" xfId="0" applyFont="1" applyFill="1" applyBorder="1" applyAlignment="1">
      <alignment vertical="center"/>
    </xf>
    <xf numFmtId="0" fontId="47" fillId="24" borderId="62" xfId="0" applyFont="1" applyFill="1" applyBorder="1" applyAlignment="1">
      <alignment horizontal="center" vertical="center"/>
    </xf>
    <xf numFmtId="0" fontId="2" fillId="3" borderId="32" xfId="0" applyFont="1" applyFill="1" applyBorder="1"/>
    <xf numFmtId="0" fontId="2" fillId="3" borderId="63" xfId="0" applyFont="1" applyFill="1" applyBorder="1"/>
    <xf numFmtId="0" fontId="51" fillId="23" borderId="64" xfId="0" applyFont="1" applyFill="1" applyBorder="1" applyAlignment="1">
      <alignment horizontal="center"/>
    </xf>
    <xf numFmtId="0" fontId="2" fillId="3" borderId="27" xfId="0" applyFont="1" applyFill="1" applyBorder="1"/>
    <xf numFmtId="0" fontId="2" fillId="3" borderId="2" xfId="0" applyFont="1" applyFill="1" applyBorder="1"/>
    <xf numFmtId="0" fontId="51" fillId="23" borderId="13" xfId="0" applyFont="1" applyFill="1" applyBorder="1" applyAlignment="1">
      <alignment horizontal="center"/>
    </xf>
    <xf numFmtId="0" fontId="2" fillId="3" borderId="55" xfId="0" applyFont="1" applyFill="1" applyBorder="1"/>
    <xf numFmtId="0" fontId="52" fillId="24" borderId="8" xfId="0" applyFont="1" applyFill="1" applyBorder="1" applyAlignment="1">
      <alignment horizontal="center" vertical="center"/>
    </xf>
    <xf numFmtId="0" fontId="2" fillId="3" borderId="29" xfId="0" applyFont="1" applyFill="1" applyBorder="1"/>
    <xf numFmtId="0" fontId="2" fillId="3" borderId="61" xfId="0" applyFont="1" applyFill="1" applyBorder="1"/>
    <xf numFmtId="0" fontId="52" fillId="24" borderId="60" xfId="0" applyFont="1" applyFill="1" applyBorder="1" applyAlignment="1">
      <alignment horizontal="center" vertical="center"/>
    </xf>
    <xf numFmtId="0" fontId="5" fillId="24" borderId="47" xfId="0" applyFont="1" applyFill="1" applyBorder="1" applyAlignment="1">
      <alignment horizontal="right" vertical="center"/>
    </xf>
    <xf numFmtId="0" fontId="2" fillId="3" borderId="26" xfId="0" applyFont="1" applyFill="1" applyBorder="1"/>
    <xf numFmtId="0" fontId="2" fillId="3" borderId="28" xfId="0" applyFont="1" applyFill="1" applyBorder="1"/>
    <xf numFmtId="0" fontId="53" fillId="24" borderId="26" xfId="0" applyFont="1" applyFill="1" applyBorder="1" applyAlignment="1">
      <alignment horizontal="center" vertical="center"/>
    </xf>
    <xf numFmtId="0" fontId="5" fillId="24" borderId="9" xfId="0" applyFont="1" applyFill="1" applyBorder="1" applyAlignment="1">
      <alignment horizontal="right" vertical="center"/>
    </xf>
    <xf numFmtId="0" fontId="55" fillId="50" borderId="13" xfId="0" applyFont="1" applyFill="1" applyBorder="1" applyAlignment="1" applyProtection="1">
      <alignment horizontal="left" vertical="center"/>
      <protection locked="0"/>
    </xf>
    <xf numFmtId="0" fontId="2" fillId="37" borderId="27" xfId="0" applyFont="1" applyFill="1" applyBorder="1" applyProtection="1">
      <protection locked="0"/>
    </xf>
    <xf numFmtId="0" fontId="2" fillId="37" borderId="2" xfId="0" applyFont="1" applyFill="1" applyBorder="1" applyProtection="1">
      <protection locked="0"/>
    </xf>
    <xf numFmtId="0" fontId="56" fillId="24" borderId="9" xfId="0" applyFont="1" applyFill="1" applyBorder="1" applyAlignment="1">
      <alignment horizontal="center" vertical="center"/>
    </xf>
    <xf numFmtId="0" fontId="55" fillId="50" borderId="13" xfId="0" applyFont="1" applyFill="1" applyBorder="1" applyAlignment="1" applyProtection="1">
      <alignment vertical="center"/>
      <protection locked="0"/>
    </xf>
    <xf numFmtId="0" fontId="2" fillId="37" borderId="55" xfId="0" applyFont="1" applyFill="1" applyBorder="1" applyProtection="1">
      <protection locked="0"/>
    </xf>
    <xf numFmtId="0" fontId="55" fillId="51" borderId="13" xfId="0" applyFont="1" applyFill="1" applyBorder="1" applyAlignment="1" applyProtection="1">
      <alignment vertical="center"/>
      <protection locked="0"/>
    </xf>
    <xf numFmtId="0" fontId="54" fillId="24" borderId="47" xfId="0" applyFont="1" applyFill="1" applyBorder="1" applyAlignment="1">
      <alignment horizontal="right" vertical="center"/>
    </xf>
    <xf numFmtId="0" fontId="55" fillId="51" borderId="13" xfId="0" applyFont="1" applyFill="1" applyBorder="1" applyAlignment="1" applyProtection="1">
      <alignment horizontal="left" vertical="center"/>
      <protection locked="0"/>
    </xf>
    <xf numFmtId="0" fontId="42" fillId="13" borderId="9" xfId="0" applyFont="1" applyFill="1" applyBorder="1" applyAlignment="1">
      <alignment horizontal="right" vertical="center"/>
    </xf>
    <xf numFmtId="44" fontId="42" fillId="10" borderId="13" xfId="0" applyNumberFormat="1" applyFont="1" applyFill="1" applyBorder="1" applyAlignment="1">
      <alignment horizontal="center" vertical="center"/>
    </xf>
    <xf numFmtId="0" fontId="46" fillId="22" borderId="48" xfId="0" applyFont="1" applyFill="1" applyBorder="1" applyAlignment="1">
      <alignment horizontal="center" vertical="center"/>
    </xf>
    <xf numFmtId="0" fontId="2" fillId="3" borderId="4" xfId="0" applyFont="1" applyFill="1" applyBorder="1"/>
    <xf numFmtId="0" fontId="2" fillId="3" borderId="49" xfId="0" applyFont="1" applyFill="1" applyBorder="1"/>
    <xf numFmtId="0" fontId="20" fillId="23" borderId="56" xfId="0" applyFont="1" applyFill="1" applyBorder="1" applyAlignment="1">
      <alignment horizontal="center" vertical="center"/>
    </xf>
    <xf numFmtId="0" fontId="2" fillId="3" borderId="14" xfId="0" applyFont="1" applyFill="1" applyBorder="1"/>
    <xf numFmtId="0" fontId="2" fillId="3" borderId="57" xfId="0" applyFont="1" applyFill="1" applyBorder="1"/>
    <xf numFmtId="0" fontId="47" fillId="24" borderId="58" xfId="0" applyFont="1" applyFill="1" applyBorder="1" applyAlignment="1">
      <alignment horizontal="center" vertical="center"/>
    </xf>
    <xf numFmtId="0" fontId="2" fillId="3" borderId="11" xfId="0" applyFont="1" applyFill="1" applyBorder="1"/>
    <xf numFmtId="0" fontId="2" fillId="3" borderId="59" xfId="0" applyFont="1" applyFill="1" applyBorder="1"/>
    <xf numFmtId="0" fontId="29" fillId="24" borderId="47" xfId="0" applyFont="1" applyFill="1" applyBorder="1" applyAlignment="1">
      <alignment horizontal="right" vertical="center"/>
    </xf>
    <xf numFmtId="0" fontId="50" fillId="25" borderId="26" xfId="0" applyFont="1" applyFill="1" applyBorder="1" applyAlignment="1">
      <alignment horizontal="center" vertical="center"/>
    </xf>
    <xf numFmtId="0" fontId="2" fillId="3" borderId="39" xfId="0" applyFont="1" applyFill="1" applyBorder="1"/>
    <xf numFmtId="0" fontId="27" fillId="19" borderId="13" xfId="0" applyFont="1" applyFill="1" applyBorder="1" applyAlignment="1">
      <alignment horizontal="center"/>
    </xf>
    <xf numFmtId="0" fontId="42" fillId="13" borderId="47" xfId="0" applyFont="1" applyFill="1" applyBorder="1" applyAlignment="1">
      <alignment horizontal="center" vertical="center"/>
    </xf>
    <xf numFmtId="44" fontId="38" fillId="15" borderId="13" xfId="0" applyNumberFormat="1" applyFont="1" applyFill="1" applyBorder="1" applyAlignment="1">
      <alignment horizontal="center" vertical="center"/>
    </xf>
    <xf numFmtId="44" fontId="28" fillId="49" borderId="18" xfId="0" applyNumberFormat="1" applyFont="1" applyFill="1" applyBorder="1" applyAlignment="1">
      <alignment vertical="center"/>
    </xf>
    <xf numFmtId="0" fontId="2" fillId="37" borderId="32" xfId="0" applyFont="1" applyFill="1" applyBorder="1"/>
    <xf numFmtId="0" fontId="2" fillId="37" borderId="33" xfId="0" applyFont="1" applyFill="1" applyBorder="1"/>
    <xf numFmtId="44" fontId="27" fillId="49" borderId="9" xfId="0" applyNumberFormat="1" applyFont="1" applyFill="1" applyBorder="1" applyAlignment="1">
      <alignment vertical="center"/>
    </xf>
    <xf numFmtId="0" fontId="2" fillId="37" borderId="26" xfId="0" applyFont="1" applyFill="1" applyBorder="1"/>
    <xf numFmtId="0" fontId="2" fillId="37" borderId="28" xfId="0" applyFont="1" applyFill="1" applyBorder="1"/>
    <xf numFmtId="44" fontId="27" fillId="15" borderId="13" xfId="0" applyNumberFormat="1" applyFont="1" applyFill="1" applyBorder="1" applyAlignment="1">
      <alignment horizontal="center" vertical="center"/>
    </xf>
    <xf numFmtId="0" fontId="34" fillId="13" borderId="47" xfId="0" applyFont="1" applyFill="1" applyBorder="1" applyAlignment="1">
      <alignment horizontal="center" vertical="center"/>
    </xf>
    <xf numFmtId="44" fontId="27" fillId="17" borderId="13" xfId="0" applyNumberFormat="1" applyFont="1" applyFill="1" applyBorder="1" applyAlignment="1" applyProtection="1">
      <alignment horizontal="center" vertical="center" wrapText="1"/>
      <protection locked="0"/>
    </xf>
    <xf numFmtId="0" fontId="2" fillId="3" borderId="27" xfId="0" applyFont="1" applyFill="1" applyBorder="1" applyProtection="1">
      <protection locked="0"/>
    </xf>
    <xf numFmtId="0" fontId="2" fillId="3" borderId="55" xfId="0" applyFont="1" applyFill="1" applyBorder="1" applyProtection="1">
      <protection locked="0"/>
    </xf>
    <xf numFmtId="44" fontId="27" fillId="49" borderId="18" xfId="0" applyNumberFormat="1" applyFont="1" applyFill="1" applyBorder="1" applyAlignment="1">
      <alignment vertical="center"/>
    </xf>
    <xf numFmtId="0" fontId="2" fillId="37" borderId="63" xfId="0" applyFont="1" applyFill="1" applyBorder="1"/>
    <xf numFmtId="174" fontId="38" fillId="15" borderId="13" xfId="0" applyNumberFormat="1" applyFont="1" applyFill="1" applyBorder="1" applyAlignment="1">
      <alignment horizontal="center" vertical="center"/>
    </xf>
    <xf numFmtId="44" fontId="27" fillId="20" borderId="13" xfId="0" applyNumberFormat="1" applyFont="1" applyFill="1" applyBorder="1" applyAlignment="1">
      <alignment horizontal="center" vertical="center"/>
    </xf>
    <xf numFmtId="44" fontId="27" fillId="21" borderId="19" xfId="0" applyNumberFormat="1" applyFont="1" applyFill="1" applyBorder="1" applyAlignment="1" applyProtection="1">
      <alignment horizontal="center" vertical="center" wrapText="1"/>
      <protection locked="0"/>
    </xf>
    <xf numFmtId="0" fontId="2" fillId="3" borderId="20" xfId="0" applyFont="1" applyFill="1" applyBorder="1" applyProtection="1">
      <protection locked="0"/>
    </xf>
    <xf numFmtId="0" fontId="2" fillId="3" borderId="65" xfId="0" applyFont="1" applyFill="1" applyBorder="1" applyProtection="1">
      <protection locked="0"/>
    </xf>
    <xf numFmtId="44" fontId="27" fillId="47" borderId="62" xfId="0" applyNumberFormat="1" applyFont="1" applyFill="1" applyBorder="1" applyAlignment="1" applyProtection="1">
      <alignment vertical="center"/>
      <protection locked="0"/>
    </xf>
    <xf numFmtId="0" fontId="2" fillId="37" borderId="33" xfId="0" applyFont="1" applyFill="1" applyBorder="1" applyProtection="1">
      <protection locked="0"/>
    </xf>
    <xf numFmtId="44" fontId="27" fillId="15" borderId="64" xfId="0" applyNumberFormat="1" applyFont="1" applyFill="1" applyBorder="1" applyAlignment="1">
      <alignment horizontal="center" vertical="center"/>
    </xf>
    <xf numFmtId="2" fontId="29" fillId="4" borderId="13" xfId="0" applyNumberFormat="1" applyFont="1" applyFill="1" applyBorder="1" applyAlignment="1">
      <alignment horizontal="center" vertical="center"/>
    </xf>
    <xf numFmtId="2" fontId="28" fillId="47" borderId="18" xfId="0" applyNumberFormat="1" applyFont="1" applyFill="1" applyBorder="1" applyAlignment="1" applyProtection="1">
      <alignment horizontal="center" vertical="center"/>
      <protection locked="0"/>
    </xf>
    <xf numFmtId="2" fontId="28" fillId="47" borderId="9" xfId="0" applyNumberFormat="1" applyFont="1" applyFill="1" applyBorder="1" applyAlignment="1" applyProtection="1">
      <alignment horizontal="center" vertical="center"/>
      <protection locked="0"/>
    </xf>
    <xf numFmtId="0" fontId="2" fillId="37" borderId="28" xfId="0" applyFont="1" applyFill="1" applyBorder="1" applyProtection="1">
      <protection locked="0"/>
    </xf>
    <xf numFmtId="44" fontId="27" fillId="16" borderId="13" xfId="0" applyNumberFormat="1" applyFont="1" applyFill="1" applyBorder="1" applyAlignment="1" applyProtection="1">
      <alignment vertical="center"/>
      <protection locked="0"/>
    </xf>
    <xf numFmtId="9" fontId="27" fillId="46" borderId="13" xfId="0" applyNumberFormat="1" applyFont="1" applyFill="1" applyBorder="1" applyAlignment="1" applyProtection="1">
      <alignment vertical="center"/>
      <protection locked="0"/>
    </xf>
    <xf numFmtId="44" fontId="36" fillId="16" borderId="13" xfId="0" applyNumberFormat="1" applyFont="1" applyFill="1" applyBorder="1" applyAlignment="1">
      <alignment vertical="center"/>
    </xf>
    <xf numFmtId="172" fontId="36" fillId="46" borderId="13" xfId="0" applyNumberFormat="1" applyFont="1" applyFill="1" applyBorder="1" applyAlignment="1" applyProtection="1">
      <alignment horizontal="center" vertical="center"/>
      <protection locked="0"/>
    </xf>
    <xf numFmtId="0" fontId="33" fillId="18" borderId="9" xfId="0" applyFont="1" applyFill="1" applyBorder="1" applyAlignment="1">
      <alignment horizontal="right" vertical="center"/>
    </xf>
    <xf numFmtId="0" fontId="33" fillId="18" borderId="26" xfId="0" applyFont="1" applyFill="1" applyBorder="1" applyAlignment="1">
      <alignment horizontal="right" vertical="center"/>
    </xf>
    <xf numFmtId="0" fontId="28" fillId="17" borderId="60" xfId="0" applyFont="1" applyFill="1" applyBorder="1" applyAlignment="1" applyProtection="1">
      <alignment horizontal="left" vertical="center" wrapText="1"/>
      <protection locked="0"/>
    </xf>
    <xf numFmtId="0" fontId="2" fillId="3" borderId="29" xfId="0" applyFont="1" applyFill="1" applyBorder="1" applyProtection="1">
      <protection locked="0"/>
    </xf>
    <xf numFmtId="0" fontId="2" fillId="3" borderId="61" xfId="0" applyFont="1" applyFill="1" applyBorder="1" applyProtection="1">
      <protection locked="0"/>
    </xf>
    <xf numFmtId="0" fontId="2" fillId="3" borderId="47" xfId="0" applyFont="1" applyFill="1" applyBorder="1" applyProtection="1">
      <protection locked="0"/>
    </xf>
    <xf numFmtId="0" fontId="2" fillId="3" borderId="26" xfId="0" applyFont="1" applyFill="1" applyBorder="1" applyProtection="1">
      <protection locked="0"/>
    </xf>
    <xf numFmtId="0" fontId="2" fillId="3" borderId="39" xfId="0" applyFont="1" applyFill="1" applyBorder="1" applyProtection="1">
      <protection locked="0"/>
    </xf>
    <xf numFmtId="0" fontId="43" fillId="4" borderId="14" xfId="0" applyFont="1" applyFill="1" applyBorder="1" applyAlignment="1">
      <alignment horizontal="center" vertical="center" wrapText="1"/>
    </xf>
    <xf numFmtId="2" fontId="44" fillId="4" borderId="15" xfId="0" applyNumberFormat="1" applyFont="1" applyFill="1" applyBorder="1" applyAlignment="1">
      <alignment horizontal="center"/>
    </xf>
    <xf numFmtId="0" fontId="2" fillId="3" borderId="16" xfId="0" applyFont="1" applyFill="1" applyBorder="1"/>
    <xf numFmtId="0" fontId="42" fillId="15" borderId="15" xfId="0" applyFont="1" applyFill="1" applyBorder="1" applyAlignment="1">
      <alignment horizontal="center"/>
    </xf>
    <xf numFmtId="44" fontId="42" fillId="17" borderId="58" xfId="0" applyNumberFormat="1" applyFont="1" applyFill="1" applyBorder="1" applyAlignment="1">
      <alignment horizontal="center" wrapText="1"/>
    </xf>
    <xf numFmtId="0" fontId="2" fillId="3" borderId="12" xfId="0" applyFont="1" applyFill="1" applyBorder="1"/>
    <xf numFmtId="0" fontId="2" fillId="3" borderId="48" xfId="0" applyFont="1" applyFill="1" applyBorder="1"/>
    <xf numFmtId="0" fontId="2" fillId="3" borderId="5" xfId="0" applyFont="1" applyFill="1" applyBorder="1"/>
    <xf numFmtId="0" fontId="28" fillId="13" borderId="47" xfId="0" applyFont="1" applyFill="1" applyBorder="1" applyAlignment="1">
      <alignment horizontal="right" vertical="center"/>
    </xf>
    <xf numFmtId="0" fontId="37" fillId="18" borderId="47" xfId="0" applyFont="1" applyFill="1" applyBorder="1" applyAlignment="1">
      <alignment horizontal="right" vertical="top"/>
    </xf>
    <xf numFmtId="0" fontId="2" fillId="3" borderId="25" xfId="0" applyFont="1" applyFill="1" applyBorder="1"/>
    <xf numFmtId="0" fontId="28" fillId="13" borderId="9" xfId="0" applyFont="1" applyFill="1" applyBorder="1" applyAlignment="1">
      <alignment horizontal="center"/>
    </xf>
    <xf numFmtId="0" fontId="38" fillId="14" borderId="24" xfId="0" applyFont="1" applyFill="1" applyBorder="1" applyAlignment="1">
      <alignment horizontal="right" vertical="center" wrapText="1"/>
    </xf>
    <xf numFmtId="0" fontId="27" fillId="14" borderId="21" xfId="0" applyFont="1" applyFill="1" applyBorder="1" applyAlignment="1">
      <alignment horizontal="center" vertical="center"/>
    </xf>
    <xf numFmtId="0" fontId="28" fillId="13" borderId="47" xfId="0" applyFont="1" applyFill="1" applyBorder="1" applyAlignment="1">
      <alignment horizontal="center" vertical="center"/>
    </xf>
    <xf numFmtId="0" fontId="40" fillId="13" borderId="47" xfId="0" applyFont="1" applyFill="1" applyBorder="1" applyAlignment="1">
      <alignment horizontal="left"/>
    </xf>
    <xf numFmtId="49" fontId="27" fillId="47" borderId="13" xfId="0" applyNumberFormat="1" applyFont="1" applyFill="1" applyBorder="1" applyAlignment="1" applyProtection="1">
      <alignment horizontal="center" vertical="center"/>
      <protection locked="0"/>
    </xf>
    <xf numFmtId="0" fontId="28" fillId="13" borderId="9" xfId="0" applyFont="1" applyFill="1" applyBorder="1" applyAlignment="1">
      <alignment horizontal="right" vertical="center"/>
    </xf>
    <xf numFmtId="164" fontId="27" fillId="16" borderId="13" xfId="0" applyNumberFormat="1" applyFont="1" applyFill="1" applyBorder="1" applyAlignment="1" applyProtection="1">
      <alignment horizontal="center" vertical="center"/>
      <protection locked="0"/>
    </xf>
    <xf numFmtId="0" fontId="30" fillId="13" borderId="9" xfId="0" applyFont="1" applyFill="1" applyBorder="1" applyAlignment="1">
      <alignment horizontal="right" vertical="center"/>
    </xf>
    <xf numFmtId="0" fontId="30" fillId="13" borderId="47" xfId="0" applyFont="1" applyFill="1" applyBorder="1" applyAlignment="1">
      <alignment horizontal="right" vertical="center"/>
    </xf>
    <xf numFmtId="171" fontId="27" fillId="46" borderId="13" xfId="0" applyNumberFormat="1" applyFont="1" applyFill="1" applyBorder="1" applyAlignment="1" applyProtection="1">
      <alignment vertical="center"/>
      <protection locked="0"/>
    </xf>
    <xf numFmtId="0" fontId="21" fillId="8" borderId="47" xfId="0" applyFont="1" applyFill="1" applyBorder="1" applyAlignment="1">
      <alignment horizontal="center" vertical="center"/>
    </xf>
    <xf numFmtId="0" fontId="22" fillId="8" borderId="41" xfId="0" applyFont="1" applyFill="1" applyBorder="1" applyAlignment="1">
      <alignment horizontal="center" vertical="center"/>
    </xf>
    <xf numFmtId="0" fontId="97" fillId="3" borderId="42" xfId="0" applyFont="1" applyFill="1" applyBorder="1"/>
    <xf numFmtId="0" fontId="97" fillId="3" borderId="43" xfId="0" applyFont="1" applyFill="1" applyBorder="1"/>
    <xf numFmtId="0" fontId="25" fillId="11" borderId="56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vertical="center"/>
    </xf>
    <xf numFmtId="0" fontId="2" fillId="3" borderId="7" xfId="0" applyFont="1" applyFill="1" applyBorder="1" applyAlignment="1">
      <alignment vertical="center"/>
    </xf>
    <xf numFmtId="0" fontId="25" fillId="12" borderId="6" xfId="0" applyFont="1" applyFill="1" applyBorder="1" applyAlignment="1">
      <alignment horizontal="center" vertical="center"/>
    </xf>
    <xf numFmtId="0" fontId="2" fillId="3" borderId="57" xfId="0" applyFont="1" applyFill="1" applyBorder="1" applyAlignment="1">
      <alignment vertical="center"/>
    </xf>
    <xf numFmtId="0" fontId="28" fillId="13" borderId="47" xfId="0" applyFont="1" applyFill="1" applyBorder="1" applyAlignment="1">
      <alignment horizontal="center"/>
    </xf>
    <xf numFmtId="14" fontId="27" fillId="45" borderId="13" xfId="0" applyNumberFormat="1" applyFont="1" applyFill="1" applyBorder="1" applyAlignment="1" applyProtection="1">
      <alignment horizontal="center" vertical="center"/>
      <protection locked="0"/>
    </xf>
    <xf numFmtId="168" fontId="27" fillId="15" borderId="13" xfId="0" applyNumberFormat="1" applyFont="1" applyFill="1" applyBorder="1" applyAlignment="1">
      <alignment horizontal="center" vertical="center"/>
    </xf>
    <xf numFmtId="0" fontId="27" fillId="13" borderId="58" xfId="0" applyFont="1" applyFill="1" applyBorder="1" applyAlignment="1">
      <alignment horizontal="center" vertical="center"/>
    </xf>
    <xf numFmtId="0" fontId="27" fillId="14" borderId="10" xfId="0" applyFont="1" applyFill="1" applyBorder="1" applyAlignment="1">
      <alignment horizontal="center" vertical="center"/>
    </xf>
    <xf numFmtId="44" fontId="27" fillId="46" borderId="13" xfId="0" applyNumberFormat="1" applyFont="1" applyFill="1" applyBorder="1" applyAlignment="1" applyProtection="1">
      <alignment vertical="center"/>
      <protection locked="0"/>
    </xf>
    <xf numFmtId="0" fontId="28" fillId="13" borderId="26" xfId="0" applyFont="1" applyFill="1" applyBorder="1" applyAlignment="1">
      <alignment horizontal="center"/>
    </xf>
    <xf numFmtId="0" fontId="27" fillId="16" borderId="13" xfId="0" applyFont="1" applyFill="1" applyBorder="1" applyAlignment="1" applyProtection="1">
      <alignment horizontal="center" vertical="center"/>
      <protection locked="0"/>
    </xf>
    <xf numFmtId="44" fontId="27" fillId="16" borderId="13" xfId="0" applyNumberFormat="1" applyFont="1" applyFill="1" applyBorder="1" applyAlignment="1" applyProtection="1">
      <alignment horizontal="center" vertical="center"/>
      <protection locked="0"/>
    </xf>
    <xf numFmtId="0" fontId="22" fillId="8" borderId="44" xfId="0" applyFont="1" applyFill="1" applyBorder="1" applyAlignment="1" applyProtection="1">
      <alignment horizontal="left" vertical="top"/>
      <protection locked="0"/>
    </xf>
    <xf numFmtId="0" fontId="22" fillId="8" borderId="45" xfId="0" applyFont="1" applyFill="1" applyBorder="1" applyAlignment="1" applyProtection="1">
      <alignment horizontal="left" vertical="top"/>
      <protection locked="0"/>
    </xf>
    <xf numFmtId="0" fontId="22" fillId="8" borderId="46" xfId="0" applyFont="1" applyFill="1" applyBorder="1" applyAlignment="1" applyProtection="1">
      <alignment horizontal="left" vertical="top"/>
      <protection locked="0"/>
    </xf>
    <xf numFmtId="0" fontId="22" fillId="8" borderId="48" xfId="0" applyFont="1" applyFill="1" applyBorder="1" applyAlignment="1" applyProtection="1">
      <alignment horizontal="left" vertical="top"/>
      <protection locked="0"/>
    </xf>
    <xf numFmtId="0" fontId="22" fillId="8" borderId="4" xfId="0" applyFont="1" applyFill="1" applyBorder="1" applyAlignment="1" applyProtection="1">
      <alignment horizontal="left" vertical="top"/>
      <protection locked="0"/>
    </xf>
    <xf numFmtId="0" fontId="22" fillId="8" borderId="49" xfId="0" applyFont="1" applyFill="1" applyBorder="1" applyAlignment="1" applyProtection="1">
      <alignment horizontal="left" vertical="top"/>
      <protection locked="0"/>
    </xf>
    <xf numFmtId="0" fontId="17" fillId="5" borderId="47" xfId="0" applyFont="1" applyFill="1" applyBorder="1" applyAlignment="1">
      <alignment horizontal="right" vertical="center"/>
    </xf>
    <xf numFmtId="0" fontId="8" fillId="40" borderId="13" xfId="0" applyFont="1" applyFill="1" applyBorder="1" applyAlignment="1" applyProtection="1">
      <alignment horizontal="left" vertical="center"/>
      <protection locked="0"/>
    </xf>
    <xf numFmtId="20" fontId="95" fillId="42" borderId="36" xfId="0" applyNumberFormat="1" applyFont="1" applyFill="1" applyBorder="1" applyAlignment="1" applyProtection="1">
      <alignment horizontal="center" vertical="center"/>
      <protection locked="0"/>
    </xf>
    <xf numFmtId="0" fontId="95" fillId="42" borderId="37" xfId="0" applyFont="1" applyFill="1" applyBorder="1" applyAlignment="1" applyProtection="1">
      <alignment horizontal="center" vertical="center"/>
      <protection locked="0"/>
    </xf>
    <xf numFmtId="0" fontId="95" fillId="42" borderId="38" xfId="0" applyFont="1" applyFill="1" applyBorder="1" applyAlignment="1" applyProtection="1">
      <alignment horizontal="center" vertical="center"/>
      <protection locked="0"/>
    </xf>
    <xf numFmtId="0" fontId="95" fillId="42" borderId="36" xfId="0" applyFont="1" applyFill="1" applyBorder="1" applyAlignment="1" applyProtection="1">
      <alignment horizontal="center" vertical="center"/>
      <protection locked="0"/>
    </xf>
    <xf numFmtId="1" fontId="95" fillId="44" borderId="36" xfId="0" applyNumberFormat="1" applyFont="1" applyFill="1" applyBorder="1" applyAlignment="1" applyProtection="1">
      <alignment horizontal="center" vertical="center"/>
      <protection locked="0"/>
    </xf>
    <xf numFmtId="1" fontId="95" fillId="44" borderId="37" xfId="0" applyNumberFormat="1" applyFont="1" applyFill="1" applyBorder="1" applyAlignment="1" applyProtection="1">
      <alignment horizontal="center" vertical="center"/>
      <protection locked="0"/>
    </xf>
    <xf numFmtId="1" fontId="95" fillId="44" borderId="38" xfId="0" applyNumberFormat="1" applyFont="1" applyFill="1" applyBorder="1" applyAlignment="1" applyProtection="1">
      <alignment horizontal="center" vertical="center"/>
      <protection locked="0"/>
    </xf>
    <xf numFmtId="0" fontId="95" fillId="44" borderId="36" xfId="0" applyFont="1" applyFill="1" applyBorder="1" applyAlignment="1" applyProtection="1">
      <alignment horizontal="center" vertical="center"/>
      <protection locked="0"/>
    </xf>
    <xf numFmtId="0" fontId="95" fillId="44" borderId="37" xfId="0" applyFont="1" applyFill="1" applyBorder="1" applyAlignment="1" applyProtection="1">
      <alignment horizontal="center" vertical="center"/>
      <protection locked="0"/>
    </xf>
    <xf numFmtId="0" fontId="95" fillId="44" borderId="38" xfId="0" applyFont="1" applyFill="1" applyBorder="1" applyAlignment="1" applyProtection="1">
      <alignment horizontal="center" vertical="center"/>
      <protection locked="0"/>
    </xf>
    <xf numFmtId="0" fontId="95" fillId="41" borderId="36" xfId="0" applyFont="1" applyFill="1" applyBorder="1" applyAlignment="1" applyProtection="1">
      <alignment horizontal="center" vertical="center"/>
      <protection locked="0"/>
    </xf>
    <xf numFmtId="0" fontId="95" fillId="41" borderId="37" xfId="0" applyFont="1" applyFill="1" applyBorder="1" applyAlignment="1" applyProtection="1">
      <alignment horizontal="center" vertical="center"/>
      <protection locked="0"/>
    </xf>
    <xf numFmtId="0" fontId="95" fillId="41" borderId="38" xfId="0" applyFont="1" applyFill="1" applyBorder="1" applyAlignment="1" applyProtection="1">
      <alignment horizontal="center" vertical="center"/>
      <protection locked="0"/>
    </xf>
    <xf numFmtId="166" fontId="95" fillId="41" borderId="36" xfId="0" applyNumberFormat="1" applyFont="1" applyFill="1" applyBorder="1" applyAlignment="1" applyProtection="1">
      <alignment horizontal="center" vertical="center"/>
      <protection locked="0"/>
    </xf>
    <xf numFmtId="166" fontId="95" fillId="41" borderId="37" xfId="0" applyNumberFormat="1" applyFont="1" applyFill="1" applyBorder="1" applyAlignment="1" applyProtection="1">
      <alignment horizontal="center" vertical="center"/>
      <protection locked="0"/>
    </xf>
    <xf numFmtId="166" fontId="95" fillId="41" borderId="38" xfId="0" applyNumberFormat="1" applyFont="1" applyFill="1" applyBorder="1" applyAlignment="1" applyProtection="1">
      <alignment horizontal="center" vertical="center"/>
      <protection locked="0"/>
    </xf>
    <xf numFmtId="49" fontId="95" fillId="42" borderId="36" xfId="0" applyNumberFormat="1" applyFont="1" applyFill="1" applyBorder="1" applyAlignment="1" applyProtection="1">
      <alignment horizontal="center" vertical="center"/>
      <protection locked="0"/>
    </xf>
    <xf numFmtId="49" fontId="95" fillId="42" borderId="37" xfId="0" applyNumberFormat="1" applyFont="1" applyFill="1" applyBorder="1" applyAlignment="1" applyProtection="1">
      <alignment horizontal="center" vertical="center"/>
      <protection locked="0"/>
    </xf>
    <xf numFmtId="49" fontId="95" fillId="42" borderId="38" xfId="0" applyNumberFormat="1" applyFont="1" applyFill="1" applyBorder="1" applyAlignment="1" applyProtection="1">
      <alignment horizontal="center" vertical="center"/>
      <protection locked="0"/>
    </xf>
    <xf numFmtId="0" fontId="7" fillId="5" borderId="47" xfId="0" applyFont="1" applyFill="1" applyBorder="1" applyAlignment="1">
      <alignment horizontal="center" vertical="center"/>
    </xf>
    <xf numFmtId="0" fontId="20" fillId="7" borderId="41" xfId="0" applyFont="1" applyFill="1" applyBorder="1" applyAlignment="1">
      <alignment horizontal="center" vertical="center"/>
    </xf>
    <xf numFmtId="0" fontId="20" fillId="7" borderId="42" xfId="0" applyFont="1" applyFill="1" applyBorder="1" applyAlignment="1">
      <alignment horizontal="center" vertical="center"/>
    </xf>
    <xf numFmtId="0" fontId="20" fillId="7" borderId="43" xfId="0" applyFont="1" applyFill="1" applyBorder="1" applyAlignment="1">
      <alignment horizontal="center" vertical="center"/>
    </xf>
    <xf numFmtId="0" fontId="21" fillId="7" borderId="44" xfId="0" applyFont="1" applyFill="1" applyBorder="1" applyAlignment="1">
      <alignment horizontal="center" vertical="center"/>
    </xf>
    <xf numFmtId="0" fontId="2" fillId="3" borderId="45" xfId="0" applyFont="1" applyFill="1" applyBorder="1"/>
    <xf numFmtId="0" fontId="2" fillId="3" borderId="46" xfId="0" applyFont="1" applyFill="1" applyBorder="1"/>
    <xf numFmtId="1" fontId="95" fillId="43" borderId="36" xfId="0" applyNumberFormat="1" applyFont="1" applyFill="1" applyBorder="1" applyAlignment="1" applyProtection="1">
      <alignment horizontal="center" vertical="center"/>
      <protection locked="0"/>
    </xf>
    <xf numFmtId="1" fontId="95" fillId="43" borderId="37" xfId="0" applyNumberFormat="1" applyFont="1" applyFill="1" applyBorder="1" applyAlignment="1" applyProtection="1">
      <alignment horizontal="center" vertical="center"/>
      <protection locked="0"/>
    </xf>
    <xf numFmtId="1" fontId="95" fillId="43" borderId="38" xfId="0" applyNumberFormat="1" applyFont="1" applyFill="1" applyBorder="1" applyAlignment="1" applyProtection="1">
      <alignment horizontal="center" vertical="center"/>
      <protection locked="0"/>
    </xf>
    <xf numFmtId="0" fontId="95" fillId="43" borderId="36" xfId="0" applyFont="1" applyFill="1" applyBorder="1" applyAlignment="1" applyProtection="1">
      <alignment horizontal="center" vertical="center" wrapText="1"/>
      <protection locked="0"/>
    </xf>
    <xf numFmtId="0" fontId="95" fillId="43" borderId="38" xfId="0" applyFont="1" applyFill="1" applyBorder="1" applyAlignment="1" applyProtection="1">
      <alignment horizontal="center" vertical="center" wrapText="1"/>
      <protection locked="0"/>
    </xf>
    <xf numFmtId="0" fontId="18" fillId="40" borderId="13" xfId="0" applyFont="1" applyFill="1" applyBorder="1" applyAlignment="1" applyProtection="1">
      <alignment horizontal="left" vertical="center"/>
      <protection locked="0"/>
    </xf>
    <xf numFmtId="0" fontId="8" fillId="40" borderId="8" xfId="0" applyFont="1" applyFill="1" applyBorder="1" applyAlignment="1" applyProtection="1">
      <alignment horizontal="left" vertical="center"/>
      <protection locked="0"/>
    </xf>
    <xf numFmtId="0" fontId="2" fillId="37" borderId="30" xfId="0" applyFont="1" applyFill="1" applyBorder="1" applyProtection="1">
      <protection locked="0"/>
    </xf>
    <xf numFmtId="0" fontId="8" fillId="40" borderId="13" xfId="0" applyFont="1" applyFill="1" applyBorder="1" applyAlignment="1" applyProtection="1">
      <alignment horizontal="center" vertical="center"/>
      <protection locked="0"/>
    </xf>
    <xf numFmtId="0" fontId="1" fillId="2" borderId="44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2" fillId="3" borderId="51" xfId="0" applyFont="1" applyFill="1" applyBorder="1"/>
    <xf numFmtId="0" fontId="2" fillId="3" borderId="21" xfId="0" applyFont="1" applyFill="1" applyBorder="1"/>
    <xf numFmtId="0" fontId="4" fillId="4" borderId="52" xfId="0" applyFont="1" applyFill="1" applyBorder="1" applyAlignment="1" applyProtection="1">
      <alignment horizontal="center" vertical="center"/>
      <protection locked="0"/>
    </xf>
    <xf numFmtId="0" fontId="2" fillId="3" borderId="1" xfId="0" applyFont="1" applyFill="1" applyBorder="1" applyProtection="1">
      <protection locked="0"/>
    </xf>
    <xf numFmtId="0" fontId="7" fillId="5" borderId="47" xfId="0" applyFont="1" applyFill="1" applyBorder="1" applyAlignment="1">
      <alignment vertical="center"/>
    </xf>
    <xf numFmtId="0" fontId="8" fillId="5" borderId="47" xfId="0" applyFont="1" applyFill="1" applyBorder="1" applyAlignment="1">
      <alignment horizontal="right" vertical="center"/>
    </xf>
    <xf numFmtId="0" fontId="100" fillId="36" borderId="13" xfId="0" applyFont="1" applyFill="1" applyBorder="1" applyAlignment="1" applyProtection="1">
      <alignment horizontal="center" vertical="center"/>
      <protection locked="0"/>
    </xf>
    <xf numFmtId="0" fontId="9" fillId="5" borderId="9" xfId="0" applyFont="1" applyFill="1" applyBorder="1" applyAlignment="1">
      <alignment horizontal="right" vertical="center"/>
    </xf>
    <xf numFmtId="0" fontId="12" fillId="6" borderId="13" xfId="0" applyFont="1" applyFill="1" applyBorder="1" applyAlignment="1">
      <alignment horizontal="center"/>
    </xf>
    <xf numFmtId="0" fontId="12" fillId="38" borderId="13" xfId="0" applyFont="1" applyFill="1" applyBorder="1" applyAlignment="1" applyProtection="1">
      <alignment horizontal="center" vertical="center" wrapText="1"/>
      <protection locked="0"/>
    </xf>
    <xf numFmtId="0" fontId="9" fillId="5" borderId="47" xfId="0" applyFont="1" applyFill="1" applyBorder="1" applyAlignment="1">
      <alignment horizontal="center" vertical="center"/>
    </xf>
    <xf numFmtId="0" fontId="10" fillId="5" borderId="47" xfId="0" applyFont="1" applyFill="1" applyBorder="1" applyAlignment="1">
      <alignment horizontal="right" vertical="center"/>
    </xf>
    <xf numFmtId="0" fontId="11" fillId="6" borderId="13" xfId="0" applyFont="1" applyFill="1" applyBorder="1" applyAlignment="1" applyProtection="1">
      <alignment horizontal="left" vertical="center"/>
      <protection locked="0"/>
    </xf>
    <xf numFmtId="0" fontId="2" fillId="3" borderId="2" xfId="0" applyFont="1" applyFill="1" applyBorder="1" applyProtection="1">
      <protection locked="0"/>
    </xf>
    <xf numFmtId="0" fontId="98" fillId="37" borderId="27" xfId="0" applyFont="1" applyFill="1" applyBorder="1" applyProtection="1">
      <protection locked="0"/>
    </xf>
    <xf numFmtId="0" fontId="98" fillId="37" borderId="2" xfId="0" applyFont="1" applyFill="1" applyBorder="1" applyProtection="1">
      <protection locked="0"/>
    </xf>
    <xf numFmtId="0" fontId="6" fillId="34" borderId="47" xfId="0" applyFont="1" applyFill="1" applyBorder="1" applyAlignment="1">
      <alignment horizontal="center" vertical="center"/>
    </xf>
    <xf numFmtId="0" fontId="28" fillId="32" borderId="8" xfId="0" applyFont="1" applyFill="1" applyBorder="1" applyAlignment="1">
      <alignment horizontal="center"/>
    </xf>
    <xf numFmtId="0" fontId="2" fillId="3" borderId="30" xfId="0" applyFont="1" applyFill="1" applyBorder="1"/>
    <xf numFmtId="0" fontId="2" fillId="3" borderId="18" xfId="0" applyFont="1" applyFill="1" applyBorder="1"/>
    <xf numFmtId="0" fontId="2" fillId="3" borderId="33" xfId="0" applyFont="1" applyFill="1" applyBorder="1"/>
    <xf numFmtId="0" fontId="27" fillId="10" borderId="54" xfId="0" applyFont="1" applyFill="1" applyBorder="1" applyAlignment="1">
      <alignment horizontal="center" wrapText="1"/>
    </xf>
    <xf numFmtId="0" fontId="2" fillId="3" borderId="66" xfId="0" applyFont="1" applyFill="1" applyBorder="1"/>
    <xf numFmtId="44" fontId="30" fillId="57" borderId="13" xfId="0" applyNumberFormat="1" applyFont="1" applyFill="1" applyBorder="1" applyAlignment="1">
      <alignment horizontal="center" vertical="center"/>
    </xf>
    <xf numFmtId="0" fontId="2" fillId="37" borderId="2" xfId="0" applyFont="1" applyFill="1" applyBorder="1"/>
    <xf numFmtId="0" fontId="30" fillId="32" borderId="8" xfId="0" applyFont="1" applyFill="1" applyBorder="1" applyAlignment="1">
      <alignment horizontal="center" wrapText="1"/>
    </xf>
    <xf numFmtId="0" fontId="2" fillId="37" borderId="27" xfId="0" applyFont="1" applyFill="1" applyBorder="1"/>
    <xf numFmtId="0" fontId="80" fillId="27" borderId="47" xfId="0" applyFont="1" applyFill="1" applyBorder="1" applyAlignment="1">
      <alignment horizontal="left" vertical="center"/>
    </xf>
    <xf numFmtId="0" fontId="2" fillId="3" borderId="47" xfId="0" applyFont="1" applyFill="1" applyBorder="1"/>
    <xf numFmtId="0" fontId="42" fillId="35" borderId="60" xfId="0" applyFont="1" applyFill="1" applyBorder="1" applyAlignment="1">
      <alignment horizontal="center" wrapText="1"/>
    </xf>
    <xf numFmtId="0" fontId="2" fillId="3" borderId="62" xfId="0" applyFont="1" applyFill="1" applyBorder="1"/>
    <xf numFmtId="0" fontId="30" fillId="10" borderId="29" xfId="0" applyFont="1" applyFill="1" applyBorder="1" applyAlignment="1">
      <alignment horizontal="center" wrapText="1"/>
    </xf>
    <xf numFmtId="0" fontId="28" fillId="32" borderId="30" xfId="0" applyFont="1" applyFill="1" applyBorder="1" applyAlignment="1">
      <alignment horizontal="center" wrapText="1"/>
    </xf>
    <xf numFmtId="0" fontId="28" fillId="32" borderId="31" xfId="0" applyFont="1" applyFill="1" applyBorder="1" applyAlignment="1">
      <alignment horizontal="center" wrapText="1"/>
    </xf>
    <xf numFmtId="0" fontId="2" fillId="3" borderId="34" xfId="0" applyFont="1" applyFill="1" applyBorder="1"/>
    <xf numFmtId="0" fontId="27" fillId="56" borderId="64" xfId="0" applyFont="1" applyFill="1" applyBorder="1" applyAlignment="1" applyProtection="1">
      <alignment horizontal="right" vertical="center"/>
      <protection locked="0"/>
    </xf>
    <xf numFmtId="0" fontId="30" fillId="30" borderId="26" xfId="0" applyFont="1" applyFill="1" applyBorder="1" applyAlignment="1">
      <alignment horizontal="center" vertical="center"/>
    </xf>
    <xf numFmtId="0" fontId="0" fillId="3" borderId="26" xfId="0" applyFill="1" applyBorder="1"/>
    <xf numFmtId="0" fontId="75" fillId="12" borderId="60" xfId="0" applyFont="1" applyFill="1" applyBorder="1" applyAlignment="1" applyProtection="1">
      <alignment horizontal="left" vertical="center" wrapText="1"/>
      <protection locked="0"/>
    </xf>
    <xf numFmtId="0" fontId="2" fillId="3" borderId="30" xfId="0" applyFont="1" applyFill="1" applyBorder="1" applyProtection="1">
      <protection locked="0"/>
    </xf>
    <xf numFmtId="0" fontId="2" fillId="3" borderId="62" xfId="0" applyFont="1" applyFill="1" applyBorder="1" applyProtection="1">
      <protection locked="0"/>
    </xf>
    <xf numFmtId="0" fontId="2" fillId="3" borderId="32" xfId="0" applyFont="1" applyFill="1" applyBorder="1" applyProtection="1">
      <protection locked="0"/>
    </xf>
    <xf numFmtId="0" fontId="2" fillId="3" borderId="33" xfId="0" applyFont="1" applyFill="1" applyBorder="1" applyProtection="1">
      <protection locked="0"/>
    </xf>
    <xf numFmtId="0" fontId="49" fillId="30" borderId="48" xfId="0" applyFont="1" applyFill="1" applyBorder="1" applyAlignment="1">
      <alignment horizontal="center" vertical="center"/>
    </xf>
    <xf numFmtId="0" fontId="77" fillId="31" borderId="56" xfId="0" applyFont="1" applyFill="1" applyBorder="1" applyAlignment="1">
      <alignment horizontal="center" vertical="center"/>
    </xf>
    <xf numFmtId="0" fontId="14" fillId="10" borderId="13" xfId="0" applyFont="1" applyFill="1" applyBorder="1" applyAlignment="1">
      <alignment horizontal="right"/>
    </xf>
    <xf numFmtId="44" fontId="14" fillId="10" borderId="27" xfId="0" applyNumberFormat="1" applyFont="1" applyFill="1" applyBorder="1" applyAlignment="1">
      <alignment wrapText="1"/>
    </xf>
    <xf numFmtId="0" fontId="6" fillId="32" borderId="58" xfId="0" applyFont="1" applyFill="1" applyBorder="1" applyAlignment="1">
      <alignment horizontal="center" vertical="center"/>
    </xf>
    <xf numFmtId="0" fontId="26" fillId="32" borderId="47" xfId="0" applyFont="1" applyFill="1" applyBorder="1" applyAlignment="1">
      <alignment horizontal="center" vertical="center"/>
    </xf>
    <xf numFmtId="0" fontId="78" fillId="32" borderId="13" xfId="0" applyFont="1" applyFill="1" applyBorder="1" applyAlignment="1">
      <alignment horizontal="right" vertical="center"/>
    </xf>
    <xf numFmtId="44" fontId="79" fillId="32" borderId="27" xfId="0" applyNumberFormat="1" applyFont="1" applyFill="1" applyBorder="1" applyAlignment="1">
      <alignment vertical="center"/>
    </xf>
    <xf numFmtId="0" fontId="58" fillId="33" borderId="13" xfId="0" applyFont="1" applyFill="1" applyBorder="1" applyAlignment="1">
      <alignment horizontal="right" vertical="center"/>
    </xf>
    <xf numFmtId="44" fontId="67" fillId="33" borderId="27" xfId="0" applyNumberFormat="1" applyFont="1" applyFill="1" applyBorder="1" applyAlignment="1">
      <alignment horizontal="center" vertical="center"/>
    </xf>
    <xf numFmtId="0" fontId="40" fillId="30" borderId="62" xfId="0" applyFont="1" applyFill="1" applyBorder="1" applyAlignment="1">
      <alignment horizontal="center"/>
    </xf>
    <xf numFmtId="0" fontId="85" fillId="12" borderId="62" xfId="0" applyFont="1" applyFill="1" applyBorder="1" applyAlignment="1">
      <alignment horizontal="center"/>
    </xf>
    <xf numFmtId="49" fontId="87" fillId="14" borderId="67" xfId="0" applyNumberFormat="1" applyFont="1" applyFill="1" applyBorder="1" applyAlignment="1">
      <alignment horizontal="center" vertical="center"/>
    </xf>
    <xf numFmtId="0" fontId="2" fillId="3" borderId="68" xfId="0" applyFont="1" applyFill="1" applyBorder="1"/>
    <xf numFmtId="0" fontId="2" fillId="3" borderId="69" xfId="0" applyFont="1" applyFill="1" applyBorder="1"/>
    <xf numFmtId="9" fontId="85" fillId="14" borderId="70" xfId="0" applyNumberFormat="1" applyFont="1" applyFill="1" applyBorder="1" applyAlignment="1" applyProtection="1">
      <alignment horizontal="center" vertical="center"/>
      <protection locked="0"/>
    </xf>
    <xf numFmtId="0" fontId="2" fillId="3" borderId="68" xfId="0" applyFont="1" applyFill="1" applyBorder="1" applyProtection="1">
      <protection locked="0"/>
    </xf>
    <xf numFmtId="0" fontId="2" fillId="3" borderId="69" xfId="0" applyFont="1" applyFill="1" applyBorder="1" applyProtection="1">
      <protection locked="0"/>
    </xf>
    <xf numFmtId="0" fontId="83" fillId="14" borderId="70" xfId="0" applyFont="1" applyFill="1" applyBorder="1" applyAlignment="1" applyProtection="1">
      <alignment horizontal="center" vertical="center"/>
      <protection locked="0"/>
    </xf>
    <xf numFmtId="0" fontId="2" fillId="3" borderId="72" xfId="0" applyFont="1" applyFill="1" applyBorder="1" applyProtection="1">
      <protection locked="0"/>
    </xf>
    <xf numFmtId="0" fontId="82" fillId="14" borderId="18" xfId="0" applyFont="1" applyFill="1" applyBorder="1" applyAlignment="1">
      <alignment horizontal="center"/>
    </xf>
    <xf numFmtId="44" fontId="82" fillId="14" borderId="18" xfId="0" applyNumberFormat="1" applyFont="1" applyFill="1" applyBorder="1" applyAlignment="1">
      <alignment horizontal="center" vertical="center"/>
    </xf>
    <xf numFmtId="0" fontId="84" fillId="12" borderId="47" xfId="0" applyFont="1" applyFill="1" applyBorder="1" applyAlignment="1">
      <alignment horizontal="center" vertical="center"/>
    </xf>
    <xf numFmtId="9" fontId="83" fillId="14" borderId="13" xfId="0" applyNumberFormat="1" applyFont="1" applyFill="1" applyBorder="1" applyAlignment="1">
      <alignment horizontal="center"/>
    </xf>
    <xf numFmtId="0" fontId="83" fillId="14" borderId="13" xfId="0" applyFont="1" applyFill="1" applyBorder="1" applyAlignment="1">
      <alignment horizontal="center"/>
    </xf>
    <xf numFmtId="44" fontId="40" fillId="32" borderId="13" xfId="0" applyNumberFormat="1" applyFont="1" applyFill="1" applyBorder="1" applyAlignment="1">
      <alignment horizontal="center"/>
    </xf>
    <xf numFmtId="0" fontId="40" fillId="35" borderId="47" xfId="0" applyFont="1" applyFill="1" applyBorder="1" applyAlignment="1">
      <alignment horizontal="left"/>
    </xf>
    <xf numFmtId="0" fontId="30" fillId="35" borderId="60" xfId="0" applyFont="1" applyFill="1" applyBorder="1" applyAlignment="1" applyProtection="1">
      <alignment horizontal="left" vertical="center"/>
      <protection locked="0"/>
    </xf>
    <xf numFmtId="0" fontId="2" fillId="3" borderId="63" xfId="0" applyFont="1" applyFill="1" applyBorder="1" applyProtection="1">
      <protection locked="0"/>
    </xf>
    <xf numFmtId="9" fontId="35" fillId="12" borderId="62" xfId="0" applyNumberFormat="1" applyFont="1" applyFill="1" applyBorder="1" applyAlignment="1">
      <alignment horizontal="center"/>
    </xf>
    <xf numFmtId="0" fontId="81" fillId="4" borderId="64" xfId="0" applyFont="1" applyFill="1" applyBorder="1" applyAlignment="1">
      <alignment horizontal="center"/>
    </xf>
    <xf numFmtId="14" fontId="41" fillId="27" borderId="58" xfId="0" applyNumberFormat="1" applyFont="1" applyFill="1" applyBorder="1" applyAlignment="1">
      <alignment horizontal="center" vertical="center"/>
    </xf>
    <xf numFmtId="0" fontId="65" fillId="53" borderId="13" xfId="0" applyFont="1" applyFill="1" applyBorder="1" applyAlignment="1">
      <alignment horizontal="right" vertical="center"/>
    </xf>
    <xf numFmtId="0" fontId="66" fillId="27" borderId="9" xfId="0" applyFont="1" applyFill="1" applyBorder="1" applyAlignment="1">
      <alignment horizontal="right" vertical="center"/>
    </xf>
    <xf numFmtId="44" fontId="67" fillId="28" borderId="13" xfId="0" applyNumberFormat="1" applyFont="1" applyFill="1" applyBorder="1" applyAlignment="1" applyProtection="1">
      <alignment horizontal="center" vertical="center"/>
      <protection locked="0"/>
    </xf>
    <xf numFmtId="0" fontId="68" fillId="27" borderId="47" xfId="0" applyFont="1" applyFill="1" applyBorder="1" applyAlignment="1">
      <alignment horizontal="center" vertical="center"/>
    </xf>
    <xf numFmtId="0" fontId="46" fillId="27" borderId="47" xfId="0" applyFont="1" applyFill="1" applyBorder="1" applyAlignment="1">
      <alignment horizontal="center" vertical="center"/>
    </xf>
    <xf numFmtId="0" fontId="42" fillId="30" borderId="47" xfId="0" applyFont="1" applyFill="1" applyBorder="1" applyAlignment="1">
      <alignment horizontal="right" vertical="center"/>
    </xf>
    <xf numFmtId="0" fontId="73" fillId="10" borderId="13" xfId="0" applyFont="1" applyFill="1" applyBorder="1" applyAlignment="1">
      <alignment horizontal="center" vertical="center"/>
    </xf>
    <xf numFmtId="0" fontId="42" fillId="30" borderId="47" xfId="0" applyFont="1" applyFill="1" applyBorder="1" applyAlignment="1">
      <alignment horizontal="center" vertical="center"/>
    </xf>
    <xf numFmtId="0" fontId="74" fillId="55" borderId="13" xfId="0" applyFont="1" applyFill="1" applyBorder="1" applyAlignment="1" applyProtection="1">
      <alignment horizontal="left" vertical="center"/>
      <protection locked="0"/>
    </xf>
    <xf numFmtId="0" fontId="28" fillId="30" borderId="47" xfId="0" applyFont="1" applyFill="1" applyBorder="1" applyAlignment="1">
      <alignment horizontal="right" vertical="center"/>
    </xf>
    <xf numFmtId="0" fontId="30" fillId="30" borderId="47" xfId="0" applyFont="1" applyFill="1" applyBorder="1" applyAlignment="1">
      <alignment horizontal="right" vertical="center"/>
    </xf>
    <xf numFmtId="0" fontId="55" fillId="48" borderId="13" xfId="0" applyFont="1" applyFill="1" applyBorder="1" applyAlignment="1" applyProtection="1">
      <alignment horizontal="center" vertical="center"/>
      <protection locked="0"/>
    </xf>
    <xf numFmtId="0" fontId="58" fillId="24" borderId="47" xfId="0" applyFont="1" applyFill="1" applyBorder="1" applyAlignment="1">
      <alignment horizontal="right" wrapText="1"/>
    </xf>
    <xf numFmtId="0" fontId="59" fillId="24" borderId="26" xfId="0" applyFont="1" applyFill="1" applyBorder="1" applyAlignment="1">
      <alignment horizontal="center" vertical="center"/>
    </xf>
    <xf numFmtId="0" fontId="60" fillId="24" borderId="47" xfId="0" applyFont="1" applyFill="1" applyBorder="1" applyAlignment="1">
      <alignment horizontal="right" vertical="center"/>
    </xf>
    <xf numFmtId="0" fontId="72" fillId="27" borderId="47" xfId="0" applyFont="1" applyFill="1" applyBorder="1" applyAlignment="1">
      <alignment horizontal="center" wrapText="1"/>
    </xf>
    <xf numFmtId="14" fontId="41" fillId="27" borderId="48" xfId="0" applyNumberFormat="1" applyFont="1" applyFill="1" applyBorder="1" applyAlignment="1">
      <alignment horizontal="center" vertical="center"/>
    </xf>
    <xf numFmtId="0" fontId="6" fillId="24" borderId="23" xfId="0" applyFont="1" applyFill="1" applyBorder="1" applyAlignment="1">
      <alignment horizontal="center" vertical="center"/>
    </xf>
    <xf numFmtId="0" fontId="68" fillId="27" borderId="9" xfId="0" applyFont="1" applyFill="1" applyBorder="1" applyAlignment="1">
      <alignment horizontal="center" vertical="center"/>
    </xf>
    <xf numFmtId="0" fontId="69" fillId="27" borderId="47" xfId="0" applyFont="1" applyFill="1" applyBorder="1" applyAlignment="1">
      <alignment horizontal="center"/>
    </xf>
    <xf numFmtId="0" fontId="65" fillId="54" borderId="13" xfId="0" applyFont="1" applyFill="1" applyBorder="1" applyAlignment="1" applyProtection="1">
      <alignment horizontal="right" vertical="center"/>
      <protection locked="0"/>
    </xf>
    <xf numFmtId="0" fontId="64" fillId="53" borderId="8" xfId="0" applyFont="1" applyFill="1" applyBorder="1" applyAlignment="1" applyProtection="1">
      <alignment horizontal="right" vertical="center" wrapText="1"/>
      <protection locked="0"/>
    </xf>
    <xf numFmtId="0" fontId="2" fillId="37" borderId="29" xfId="0" applyFont="1" applyFill="1" applyBorder="1" applyProtection="1">
      <protection locked="0"/>
    </xf>
    <xf numFmtId="0" fontId="2" fillId="37" borderId="18" xfId="0" applyFont="1" applyFill="1" applyBorder="1" applyProtection="1">
      <protection locked="0"/>
    </xf>
    <xf numFmtId="0" fontId="2" fillId="37" borderId="32" xfId="0" applyFont="1" applyFill="1" applyBorder="1" applyProtection="1">
      <protection locked="0"/>
    </xf>
    <xf numFmtId="0" fontId="70" fillId="27" borderId="28" xfId="0" applyFont="1" applyFill="1" applyBorder="1" applyAlignment="1">
      <alignment horizontal="right" vertical="center"/>
    </xf>
    <xf numFmtId="0" fontId="58" fillId="27" borderId="9" xfId="0" applyFont="1" applyFill="1" applyBorder="1" applyAlignment="1">
      <alignment horizontal="right" vertical="center"/>
    </xf>
    <xf numFmtId="44" fontId="67" fillId="28" borderId="13" xfId="0" applyNumberFormat="1" applyFont="1" applyFill="1" applyBorder="1" applyAlignment="1">
      <alignment horizontal="center" vertical="center"/>
    </xf>
    <xf numFmtId="0" fontId="64" fillId="27" borderId="47" xfId="0" applyFont="1" applyFill="1" applyBorder="1" applyAlignment="1">
      <alignment horizontal="right" vertical="center"/>
    </xf>
    <xf numFmtId="14" fontId="62" fillId="26" borderId="56" xfId="0" applyNumberFormat="1" applyFont="1" applyFill="1" applyBorder="1" applyAlignment="1">
      <alignment horizontal="center" vertical="center"/>
    </xf>
    <xf numFmtId="0" fontId="69" fillId="3" borderId="73" xfId="0" applyFont="1" applyFill="1" applyBorder="1" applyAlignment="1">
      <alignment horizontal="center" vertical="center" wrapText="1"/>
    </xf>
    <xf numFmtId="0" fontId="89" fillId="3" borderId="74" xfId="0" applyFont="1" applyFill="1" applyBorder="1" applyAlignment="1">
      <alignment horizontal="center" vertical="center" wrapText="1"/>
    </xf>
    <xf numFmtId="0" fontId="89" fillId="3" borderId="75" xfId="0" applyFont="1" applyFill="1" applyBorder="1" applyAlignment="1">
      <alignment horizontal="center" vertical="center" wrapText="1"/>
    </xf>
    <xf numFmtId="0" fontId="89" fillId="3" borderId="40" xfId="0" applyFont="1" applyFill="1" applyBorder="1" applyAlignment="1">
      <alignment horizontal="center" vertical="center" wrapText="1"/>
    </xf>
    <xf numFmtId="0" fontId="89" fillId="3" borderId="26" xfId="0" applyFont="1" applyFill="1" applyBorder="1" applyAlignment="1">
      <alignment horizontal="center" vertical="center" wrapText="1"/>
    </xf>
    <xf numFmtId="0" fontId="89" fillId="3" borderId="76" xfId="0" applyFont="1" applyFill="1" applyBorder="1" applyAlignment="1">
      <alignment horizontal="center" vertical="center" wrapText="1"/>
    </xf>
    <xf numFmtId="0" fontId="89" fillId="3" borderId="77" xfId="0" applyFont="1" applyFill="1" applyBorder="1" applyAlignment="1">
      <alignment horizontal="center" vertical="center" wrapText="1"/>
    </xf>
    <xf numFmtId="0" fontId="89" fillId="3" borderId="78" xfId="0" applyFont="1" applyFill="1" applyBorder="1" applyAlignment="1">
      <alignment horizontal="center" vertical="center" wrapText="1"/>
    </xf>
    <xf numFmtId="0" fontId="89" fillId="3" borderId="79" xfId="0" applyFont="1" applyFill="1" applyBorder="1" applyAlignment="1">
      <alignment horizontal="center" vertical="center" wrapText="1"/>
    </xf>
    <xf numFmtId="165" fontId="55" fillId="51" borderId="13" xfId="0" applyNumberFormat="1" applyFont="1" applyFill="1" applyBorder="1" applyAlignment="1" applyProtection="1">
      <alignment horizontal="left" vertical="center"/>
      <protection locked="0"/>
    </xf>
    <xf numFmtId="0" fontId="56" fillId="24" borderId="26" xfId="0" applyFont="1" applyFill="1" applyBorder="1" applyAlignment="1">
      <alignment horizontal="center" vertical="center"/>
    </xf>
    <xf numFmtId="165" fontId="55" fillId="51" borderId="13" xfId="0" applyNumberFormat="1" applyFont="1" applyFill="1" applyBorder="1" applyAlignment="1" applyProtection="1">
      <alignment horizontal="center" vertical="center"/>
      <protection locked="0"/>
    </xf>
    <xf numFmtId="0" fontId="58" fillId="24" borderId="9" xfId="0" applyFont="1" applyFill="1" applyBorder="1" applyAlignment="1">
      <alignment horizontal="right" wrapText="1"/>
    </xf>
    <xf numFmtId="0" fontId="13" fillId="5" borderId="26" xfId="0" applyFont="1" applyFill="1" applyBorder="1" applyAlignment="1">
      <alignment horizontal="right" vertical="center"/>
    </xf>
    <xf numFmtId="0" fontId="16" fillId="5" borderId="47" xfId="0" applyFont="1" applyFill="1" applyBorder="1" applyAlignment="1">
      <alignment horizontal="right" vertical="center"/>
    </xf>
    <xf numFmtId="0" fontId="8" fillId="39" borderId="13" xfId="0" applyFont="1" applyFill="1" applyBorder="1" applyAlignment="1" applyProtection="1">
      <alignment horizontal="left" vertical="center"/>
      <protection locked="0"/>
    </xf>
    <xf numFmtId="0" fontId="16" fillId="5" borderId="26" xfId="0" applyFont="1" applyFill="1" applyBorder="1" applyAlignment="1">
      <alignment horizontal="right" vertical="center"/>
    </xf>
    <xf numFmtId="0" fontId="19" fillId="40" borderId="13" xfId="0" applyFont="1" applyFill="1" applyBorder="1" applyAlignment="1" applyProtection="1">
      <alignment horizontal="left" vertical="center"/>
      <protection locked="0"/>
    </xf>
    <xf numFmtId="165" fontId="8" fillId="40" borderId="13" xfId="0" applyNumberFormat="1" applyFon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mailto:_NewportBeach-BrokerAdmin@lee-associates.com?subject=Invoice%20Requested%20-%20Voucher%20Attached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0</xdr:row>
      <xdr:rowOff>0</xdr:rowOff>
    </xdr:from>
    <xdr:ext cx="738554" cy="233262"/>
    <xdr:pic macro="[0]!aaaaSendEmailWithAttachment">
      <xdr:nvPicPr>
        <xdr:cNvPr id="5" name="image1.png">
          <a:hlinkClick xmlns:r="http://schemas.openxmlformats.org/officeDocument/2006/relationships" r:id="rId1" tooltip="Email to Broker Admin"/>
          <a:extLst>
            <a:ext uri="{FF2B5EF4-FFF2-40B4-BE49-F238E27FC236}">
              <a16:creationId xmlns:a16="http://schemas.microsoft.com/office/drawing/2014/main" id="{F40475E9-79BD-45F3-922F-AE3B7926ADB0}"/>
            </a:ext>
          </a:extLst>
        </xdr:cNvPr>
        <xdr:cNvPicPr preferRelativeResize="0">
          <a:picLocks noChangeAspect="1"/>
        </xdr:cNvPicPr>
      </xdr:nvPicPr>
      <xdr:blipFill rotWithShape="1">
        <a:blip xmlns:r="http://schemas.openxmlformats.org/officeDocument/2006/relationships" r:embed="rId2" cstate="print"/>
        <a:srcRect l="788"/>
        <a:stretch/>
      </xdr:blipFill>
      <xdr:spPr>
        <a:xfrm>
          <a:off x="6389077" y="0"/>
          <a:ext cx="738554" cy="233262"/>
        </a:xfrm>
        <a:prstGeom prst="rect">
          <a:avLst/>
        </a:prstGeom>
        <a:noFill/>
      </xdr:spPr>
    </xdr:pic>
    <xdr:clientData fLocksWithSheet="0"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356E7CA-1AEA-B044-910B-22F44B0B81B6}">
  <we:reference id="WA200009404" version="1.0.0.8" store="Omex" storeType="OMEX"/>
  <we:alternateReferences>
    <we:reference id="WA200009404" version="1.0.0.8" store="WA2000094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997"/>
  <sheetViews>
    <sheetView showGridLines="0" tabSelected="1" zoomScale="125" zoomScaleNormal="130" workbookViewId="0">
      <selection activeCell="O9" sqref="O9"/>
    </sheetView>
  </sheetViews>
  <sheetFormatPr defaultColWidth="12.7109375" defaultRowHeight="15" customHeight="1" x14ac:dyDescent="0.2"/>
  <cols>
    <col min="1" max="1" width="4.42578125" style="4" customWidth="1"/>
    <col min="2" max="2" width="13.85546875" style="4" bestFit="1" customWidth="1"/>
    <col min="3" max="3" width="9.42578125" style="4" customWidth="1"/>
    <col min="4" max="4" width="9.7109375" style="4" customWidth="1"/>
    <col min="5" max="5" width="8.7109375" style="4" customWidth="1"/>
    <col min="6" max="6" width="10.42578125" style="4" customWidth="1"/>
    <col min="7" max="7" width="11.42578125" style="4" customWidth="1"/>
    <col min="8" max="9" width="0.42578125" style="4" customWidth="1"/>
    <col min="10" max="10" width="11" style="4" customWidth="1"/>
    <col min="11" max="11" width="11.28515625" style="4" customWidth="1"/>
    <col min="12" max="12" width="11.42578125" style="4" customWidth="1"/>
    <col min="13" max="13" width="9" style="4" customWidth="1"/>
    <col min="14" max="14" width="11.7109375" style="4" customWidth="1"/>
    <col min="15" max="26" width="9.140625" style="4" customWidth="1"/>
    <col min="27" max="16384" width="12.7109375" style="4"/>
  </cols>
  <sheetData>
    <row r="1" spans="1:26" ht="10.35" customHeight="1" x14ac:dyDescent="0.2">
      <c r="A1" s="337" t="s">
        <v>0</v>
      </c>
      <c r="B1" s="326"/>
      <c r="C1" s="326"/>
      <c r="D1" s="326"/>
      <c r="E1" s="326"/>
      <c r="F1" s="326"/>
      <c r="G1" s="326"/>
      <c r="H1" s="326"/>
      <c r="I1" s="1"/>
      <c r="J1" s="338" t="s">
        <v>1</v>
      </c>
      <c r="K1" s="339"/>
      <c r="L1" s="341"/>
      <c r="M1" s="2"/>
      <c r="N1" s="171" t="s">
        <v>2</v>
      </c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0.35" customHeight="1" thickBot="1" x14ac:dyDescent="0.25">
      <c r="A2" s="260"/>
      <c r="B2" s="203"/>
      <c r="C2" s="203"/>
      <c r="D2" s="203"/>
      <c r="E2" s="203"/>
      <c r="F2" s="203"/>
      <c r="G2" s="203"/>
      <c r="H2" s="203"/>
      <c r="I2" s="5"/>
      <c r="J2" s="340"/>
      <c r="K2" s="261"/>
      <c r="L2" s="342"/>
      <c r="M2" s="6"/>
      <c r="N2" s="172">
        <f ca="1">TODAY()</f>
        <v>46115</v>
      </c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4.3499999999999996" customHeight="1" x14ac:dyDescent="0.2">
      <c r="A3" s="343"/>
      <c r="B3" s="187"/>
      <c r="C3" s="187"/>
      <c r="D3" s="187"/>
      <c r="E3" s="187"/>
      <c r="F3" s="187"/>
      <c r="G3" s="187"/>
      <c r="H3" s="187"/>
      <c r="I3" s="187"/>
      <c r="J3" s="187"/>
      <c r="K3" s="187"/>
      <c r="L3" s="187"/>
      <c r="M3" s="187"/>
      <c r="N3" s="21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5" customHeight="1" x14ac:dyDescent="0.2">
      <c r="A4" s="344" t="s">
        <v>3</v>
      </c>
      <c r="B4" s="187"/>
      <c r="C4" s="188"/>
      <c r="D4" s="345"/>
      <c r="E4" s="193"/>
      <c r="F4" s="7" t="s">
        <v>4</v>
      </c>
      <c r="G4" s="123"/>
      <c r="H4" s="346" t="s">
        <v>5</v>
      </c>
      <c r="I4" s="187"/>
      <c r="J4" s="188"/>
      <c r="K4" s="8"/>
      <c r="L4" s="346" t="s">
        <v>6</v>
      </c>
      <c r="M4" s="188"/>
      <c r="N4" s="9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3.75" customHeight="1" x14ac:dyDescent="0.2">
      <c r="A5" s="349"/>
      <c r="B5" s="187"/>
      <c r="C5" s="187"/>
      <c r="D5" s="187"/>
      <c r="E5" s="187"/>
      <c r="F5" s="187"/>
      <c r="G5" s="187"/>
      <c r="H5" s="187"/>
      <c r="I5" s="187"/>
      <c r="J5" s="187"/>
      <c r="K5" s="187"/>
      <c r="L5" s="187"/>
      <c r="M5" s="187"/>
      <c r="N5" s="21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3.5" customHeight="1" x14ac:dyDescent="0.2">
      <c r="A6" s="350" t="s">
        <v>7</v>
      </c>
      <c r="B6" s="187"/>
      <c r="C6" s="187"/>
      <c r="D6" s="187"/>
      <c r="E6" s="351"/>
      <c r="F6" s="226"/>
      <c r="G6" s="226"/>
      <c r="H6" s="226"/>
      <c r="I6" s="226"/>
      <c r="J6" s="226"/>
      <c r="K6" s="226"/>
      <c r="L6" s="226"/>
      <c r="M6" s="352"/>
      <c r="N6" s="11"/>
      <c r="O6" s="3"/>
      <c r="P6" s="444" t="s">
        <v>8</v>
      </c>
      <c r="Q6" s="445"/>
      <c r="R6" s="446"/>
      <c r="S6" s="3"/>
      <c r="T6" s="3"/>
      <c r="U6" s="3"/>
      <c r="V6" s="3"/>
      <c r="W6" s="3"/>
      <c r="X6" s="3"/>
      <c r="Y6" s="3"/>
      <c r="Z6" s="3"/>
    </row>
    <row r="7" spans="1:26" ht="4.3499999999999996" customHeight="1" x14ac:dyDescent="0.2">
      <c r="A7" s="349"/>
      <c r="B7" s="187"/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213"/>
      <c r="O7" s="3"/>
      <c r="P7" s="447"/>
      <c r="Q7" s="448"/>
      <c r="R7" s="449"/>
      <c r="S7" s="3"/>
      <c r="T7" s="3"/>
      <c r="U7" s="3"/>
      <c r="V7" s="3"/>
      <c r="W7" s="3"/>
      <c r="X7" s="3"/>
      <c r="Y7" s="3"/>
      <c r="Z7" s="3"/>
    </row>
    <row r="8" spans="1:26" ht="12.75" x14ac:dyDescent="0.2">
      <c r="A8" s="10"/>
      <c r="B8" s="347" t="s">
        <v>9</v>
      </c>
      <c r="C8" s="178"/>
      <c r="D8" s="178"/>
      <c r="E8" s="178"/>
      <c r="F8" s="178"/>
      <c r="G8" s="178"/>
      <c r="H8" s="178"/>
      <c r="I8" s="179"/>
      <c r="J8" s="12"/>
      <c r="K8" s="347" t="s">
        <v>10</v>
      </c>
      <c r="L8" s="179"/>
      <c r="M8" s="12"/>
      <c r="N8" s="13" t="s">
        <v>11</v>
      </c>
      <c r="O8" s="3"/>
      <c r="P8" s="447"/>
      <c r="Q8" s="448"/>
      <c r="R8" s="449"/>
      <c r="S8" s="3"/>
      <c r="T8" s="3"/>
      <c r="U8" s="3"/>
      <c r="V8" s="3"/>
      <c r="W8" s="3"/>
      <c r="X8" s="3"/>
      <c r="Y8" s="3"/>
      <c r="Z8" s="3"/>
    </row>
    <row r="9" spans="1:26" ht="12.75" x14ac:dyDescent="0.2">
      <c r="A9" s="14"/>
      <c r="B9" s="348"/>
      <c r="C9" s="353"/>
      <c r="D9" s="353"/>
      <c r="E9" s="353"/>
      <c r="F9" s="353"/>
      <c r="G9" s="353"/>
      <c r="H9" s="353"/>
      <c r="I9" s="354"/>
      <c r="J9" s="15"/>
      <c r="K9" s="348"/>
      <c r="L9" s="193"/>
      <c r="M9" s="16"/>
      <c r="N9" s="124"/>
      <c r="O9" s="3"/>
      <c r="P9" s="450"/>
      <c r="Q9" s="451"/>
      <c r="R9" s="452"/>
      <c r="S9" s="3"/>
      <c r="T9" s="3"/>
      <c r="U9" s="3"/>
      <c r="V9" s="3"/>
      <c r="W9" s="3"/>
      <c r="X9" s="3"/>
      <c r="Y9" s="3"/>
      <c r="Z9" s="3"/>
    </row>
    <row r="10" spans="1:26" ht="2.25" customHeight="1" x14ac:dyDescent="0.2">
      <c r="A10" s="349"/>
      <c r="B10" s="187"/>
      <c r="C10" s="187"/>
      <c r="D10" s="187"/>
      <c r="E10" s="187"/>
      <c r="F10" s="187"/>
      <c r="G10" s="187"/>
      <c r="H10" s="187"/>
      <c r="I10" s="187"/>
      <c r="J10" s="187"/>
      <c r="K10" s="187"/>
      <c r="L10" s="187"/>
      <c r="M10" s="187"/>
      <c r="N10" s="21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15" customHeight="1" x14ac:dyDescent="0.2">
      <c r="A11" s="17"/>
      <c r="B11" s="457" t="s">
        <v>12</v>
      </c>
      <c r="C11" s="187"/>
      <c r="D11" s="187"/>
      <c r="E11" s="187"/>
      <c r="F11" s="188"/>
      <c r="G11" s="169"/>
      <c r="H11" s="18"/>
      <c r="I11" s="18"/>
      <c r="J11" s="457" t="s">
        <v>13</v>
      </c>
      <c r="K11" s="187"/>
      <c r="L11" s="187"/>
      <c r="M11" s="187"/>
      <c r="N11" s="170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15" customHeight="1" x14ac:dyDescent="0.2">
      <c r="A12" s="458" t="s">
        <v>14</v>
      </c>
      <c r="B12" s="187"/>
      <c r="C12" s="459"/>
      <c r="D12" s="192"/>
      <c r="E12" s="192"/>
      <c r="F12" s="192"/>
      <c r="G12" s="193"/>
      <c r="H12" s="460" t="s">
        <v>15</v>
      </c>
      <c r="I12" s="187"/>
      <c r="J12" s="187"/>
      <c r="K12" s="459"/>
      <c r="L12" s="192"/>
      <c r="M12" s="192"/>
      <c r="N12" s="196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15" customHeight="1" x14ac:dyDescent="0.2">
      <c r="A13" s="300" t="s">
        <v>16</v>
      </c>
      <c r="B13" s="187"/>
      <c r="C13" s="301"/>
      <c r="D13" s="192"/>
      <c r="E13" s="192"/>
      <c r="F13" s="192"/>
      <c r="G13" s="193"/>
      <c r="H13" s="19"/>
      <c r="I13" s="19"/>
      <c r="J13" s="20" t="s">
        <v>16</v>
      </c>
      <c r="K13" s="301"/>
      <c r="L13" s="192"/>
      <c r="M13" s="192"/>
      <c r="N13" s="196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5" customHeight="1" x14ac:dyDescent="0.2">
      <c r="A14" s="300" t="s">
        <v>17</v>
      </c>
      <c r="B14" s="187"/>
      <c r="C14" s="333"/>
      <c r="D14" s="192"/>
      <c r="E14" s="192"/>
      <c r="F14" s="192"/>
      <c r="G14" s="193"/>
      <c r="H14" s="21"/>
      <c r="I14" s="21"/>
      <c r="J14" s="20" t="s">
        <v>17</v>
      </c>
      <c r="K14" s="461"/>
      <c r="L14" s="192"/>
      <c r="M14" s="192"/>
      <c r="N14" s="196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5" customHeight="1" x14ac:dyDescent="0.2">
      <c r="A15" s="300" t="s">
        <v>18</v>
      </c>
      <c r="B15" s="187"/>
      <c r="C15" s="301"/>
      <c r="D15" s="192"/>
      <c r="E15" s="192"/>
      <c r="F15" s="192"/>
      <c r="G15" s="193"/>
      <c r="H15" s="21"/>
      <c r="I15" s="21"/>
      <c r="J15" s="20" t="s">
        <v>18</v>
      </c>
      <c r="K15" s="301"/>
      <c r="L15" s="192"/>
      <c r="M15" s="192"/>
      <c r="N15" s="196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5" customHeight="1" x14ac:dyDescent="0.2">
      <c r="A16" s="300" t="s">
        <v>10</v>
      </c>
      <c r="B16" s="188"/>
      <c r="C16" s="301"/>
      <c r="D16" s="192"/>
      <c r="E16" s="192"/>
      <c r="F16" s="192"/>
      <c r="G16" s="193"/>
      <c r="H16" s="21"/>
      <c r="I16" s="21"/>
      <c r="J16" s="20" t="s">
        <v>10</v>
      </c>
      <c r="K16" s="301"/>
      <c r="L16" s="192"/>
      <c r="M16" s="192"/>
      <c r="N16" s="196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5" customHeight="1" x14ac:dyDescent="0.2">
      <c r="A17" s="300" t="s">
        <v>19</v>
      </c>
      <c r="B17" s="187"/>
      <c r="C17" s="334"/>
      <c r="D17" s="335"/>
      <c r="E17" s="20" t="s">
        <v>20</v>
      </c>
      <c r="F17" s="336"/>
      <c r="G17" s="193"/>
      <c r="H17" s="21"/>
      <c r="I17" s="21"/>
      <c r="J17" s="20" t="s">
        <v>19</v>
      </c>
      <c r="K17" s="301"/>
      <c r="L17" s="193"/>
      <c r="M17" s="20" t="s">
        <v>20</v>
      </c>
      <c r="N17" s="125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5" customHeight="1" x14ac:dyDescent="0.2">
      <c r="A18" s="300" t="s">
        <v>21</v>
      </c>
      <c r="B18" s="187"/>
      <c r="C18" s="301"/>
      <c r="D18" s="192"/>
      <c r="E18" s="192"/>
      <c r="F18" s="192"/>
      <c r="G18" s="193"/>
      <c r="H18" s="21"/>
      <c r="I18" s="21"/>
      <c r="J18" s="20" t="s">
        <v>21</v>
      </c>
      <c r="K18" s="462"/>
      <c r="L18" s="192"/>
      <c r="M18" s="192"/>
      <c r="N18" s="196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4.3499999999999996" customHeight="1" thickBot="1" x14ac:dyDescent="0.25">
      <c r="A19" s="321"/>
      <c r="B19" s="187"/>
      <c r="C19" s="187"/>
      <c r="D19" s="187"/>
      <c r="E19" s="187"/>
      <c r="F19" s="187"/>
      <c r="G19" s="187"/>
      <c r="H19" s="187"/>
      <c r="I19" s="187"/>
      <c r="J19" s="187"/>
      <c r="K19" s="187"/>
      <c r="L19" s="187"/>
      <c r="M19" s="187"/>
      <c r="N19" s="21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4.1" customHeight="1" thickBot="1" x14ac:dyDescent="0.25">
      <c r="A20" s="322" t="s">
        <v>22</v>
      </c>
      <c r="B20" s="323"/>
      <c r="C20" s="323"/>
      <c r="D20" s="323"/>
      <c r="E20" s="323"/>
      <c r="F20" s="323"/>
      <c r="G20" s="323"/>
      <c r="H20" s="323"/>
      <c r="I20" s="323"/>
      <c r="J20" s="323"/>
      <c r="K20" s="323"/>
      <c r="L20" s="323"/>
      <c r="M20" s="323"/>
      <c r="N20" s="324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3.75" customHeight="1" x14ac:dyDescent="0.2">
      <c r="A21" s="325"/>
      <c r="B21" s="326"/>
      <c r="C21" s="326"/>
      <c r="D21" s="326"/>
      <c r="E21" s="326"/>
      <c r="F21" s="326"/>
      <c r="G21" s="326"/>
      <c r="H21" s="326"/>
      <c r="I21" s="326"/>
      <c r="J21" s="326"/>
      <c r="K21" s="326"/>
      <c r="L21" s="326"/>
      <c r="M21" s="326"/>
      <c r="N21" s="327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5" customHeight="1" x14ac:dyDescent="0.2">
      <c r="A22" s="22"/>
      <c r="B22" s="23" t="s">
        <v>23</v>
      </c>
      <c r="C22" s="128"/>
      <c r="D22" s="23" t="s">
        <v>24</v>
      </c>
      <c r="E22" s="132"/>
      <c r="F22" s="23" t="s">
        <v>25</v>
      </c>
      <c r="G22" s="328"/>
      <c r="H22" s="329"/>
      <c r="I22" s="330"/>
      <c r="J22" s="24"/>
      <c r="K22" s="24" t="s">
        <v>26</v>
      </c>
      <c r="L22" s="331"/>
      <c r="M22" s="332"/>
      <c r="N22" s="25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5" customHeight="1" x14ac:dyDescent="0.2">
      <c r="A23" s="22"/>
      <c r="B23" s="23" t="s">
        <v>27</v>
      </c>
      <c r="C23" s="126"/>
      <c r="D23" s="23" t="s">
        <v>28</v>
      </c>
      <c r="E23" s="133"/>
      <c r="F23" s="23" t="s">
        <v>29</v>
      </c>
      <c r="G23" s="312"/>
      <c r="H23" s="313"/>
      <c r="I23" s="314"/>
      <c r="J23" s="23" t="s">
        <v>30</v>
      </c>
      <c r="K23" s="139"/>
      <c r="L23" s="23" t="s">
        <v>31</v>
      </c>
      <c r="M23" s="126"/>
      <c r="N23" s="25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5" customHeight="1" x14ac:dyDescent="0.2">
      <c r="A24" s="27"/>
      <c r="B24" s="23" t="s">
        <v>32</v>
      </c>
      <c r="C24" s="126"/>
      <c r="D24" s="23" t="s">
        <v>33</v>
      </c>
      <c r="E24" s="126"/>
      <c r="F24" s="23" t="s">
        <v>34</v>
      </c>
      <c r="G24" s="315"/>
      <c r="H24" s="316"/>
      <c r="I24" s="317"/>
      <c r="J24" s="23" t="s">
        <v>35</v>
      </c>
      <c r="K24" s="126"/>
      <c r="L24" s="23" t="s">
        <v>36</v>
      </c>
      <c r="M24" s="134"/>
      <c r="N24" s="25"/>
      <c r="O24" s="26"/>
      <c r="P24" s="26"/>
      <c r="S24" s="26"/>
      <c r="T24" s="26"/>
      <c r="U24" s="26"/>
      <c r="V24" s="26"/>
      <c r="W24" s="26"/>
      <c r="X24" s="26"/>
      <c r="Y24" s="26"/>
      <c r="Z24" s="26"/>
    </row>
    <row r="25" spans="1:26" ht="15" customHeight="1" x14ac:dyDescent="0.2">
      <c r="A25" s="28"/>
      <c r="B25" s="23" t="s">
        <v>37</v>
      </c>
      <c r="C25" s="127"/>
      <c r="D25" s="23" t="s">
        <v>38</v>
      </c>
      <c r="E25" s="135"/>
      <c r="F25" s="23" t="s">
        <v>39</v>
      </c>
      <c r="G25" s="318"/>
      <c r="H25" s="319"/>
      <c r="I25" s="320"/>
      <c r="J25" s="23" t="s">
        <v>40</v>
      </c>
      <c r="K25" s="129"/>
      <c r="L25" s="23" t="s">
        <v>41</v>
      </c>
      <c r="M25" s="142"/>
      <c r="N25" s="25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5" customHeight="1" x14ac:dyDescent="0.2">
      <c r="A26" s="29"/>
      <c r="B26" s="23" t="s">
        <v>42</v>
      </c>
      <c r="C26" s="129"/>
      <c r="D26" s="23" t="s">
        <v>43</v>
      </c>
      <c r="E26" s="129"/>
      <c r="F26" s="23" t="s">
        <v>44</v>
      </c>
      <c r="G26" s="302"/>
      <c r="H26" s="303"/>
      <c r="I26" s="304"/>
      <c r="J26" s="23" t="s">
        <v>45</v>
      </c>
      <c r="K26" s="140"/>
      <c r="L26" s="23" t="s">
        <v>46</v>
      </c>
      <c r="M26" s="140"/>
      <c r="N26" s="25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5" customHeight="1" x14ac:dyDescent="0.2">
      <c r="A27" s="27"/>
      <c r="B27" s="23" t="s">
        <v>47</v>
      </c>
      <c r="C27" s="138"/>
      <c r="D27" s="23" t="s">
        <v>48</v>
      </c>
      <c r="E27" s="136"/>
      <c r="F27" s="23" t="s">
        <v>49</v>
      </c>
      <c r="G27" s="305"/>
      <c r="H27" s="303"/>
      <c r="I27" s="304"/>
      <c r="J27" s="23" t="s">
        <v>50</v>
      </c>
      <c r="K27" s="141"/>
      <c r="L27" s="23" t="s">
        <v>51</v>
      </c>
      <c r="M27" s="141"/>
      <c r="N27" s="25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5" customHeight="1" x14ac:dyDescent="0.2">
      <c r="A28" s="30"/>
      <c r="B28" s="23" t="s">
        <v>52</v>
      </c>
      <c r="C28" s="130"/>
      <c r="D28" s="31" t="s">
        <v>53</v>
      </c>
      <c r="E28" s="137"/>
      <c r="F28" s="31" t="s">
        <v>54</v>
      </c>
      <c r="G28" s="306"/>
      <c r="H28" s="307"/>
      <c r="I28" s="308"/>
      <c r="J28" s="31" t="s">
        <v>55</v>
      </c>
      <c r="K28" s="131"/>
      <c r="L28" s="32" t="s">
        <v>56</v>
      </c>
      <c r="M28" s="137"/>
      <c r="N28" s="25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5" customHeight="1" x14ac:dyDescent="0.2">
      <c r="A29" s="30"/>
      <c r="B29" s="23" t="s">
        <v>57</v>
      </c>
      <c r="C29" s="131"/>
      <c r="D29" s="31" t="s">
        <v>58</v>
      </c>
      <c r="E29" s="131"/>
      <c r="F29" s="31" t="s">
        <v>59</v>
      </c>
      <c r="G29" s="309"/>
      <c r="H29" s="310"/>
      <c r="I29" s="311"/>
      <c r="J29" s="31" t="s">
        <v>60</v>
      </c>
      <c r="K29" s="131"/>
      <c r="L29" s="31" t="s">
        <v>61</v>
      </c>
      <c r="M29" s="131"/>
      <c r="N29" s="25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4.3499999999999996" customHeight="1" thickBot="1" x14ac:dyDescent="0.25">
      <c r="A30" s="276"/>
      <c r="B30" s="187"/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213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9.75" customHeight="1" thickBot="1" x14ac:dyDescent="0.25">
      <c r="A31" s="277" t="s">
        <v>62</v>
      </c>
      <c r="B31" s="278"/>
      <c r="C31" s="278"/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9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0.35" customHeight="1" x14ac:dyDescent="0.2">
      <c r="A32" s="294"/>
      <c r="B32" s="295"/>
      <c r="C32" s="295"/>
      <c r="D32" s="295"/>
      <c r="E32" s="295"/>
      <c r="F32" s="295"/>
      <c r="G32" s="295"/>
      <c r="H32" s="295"/>
      <c r="I32" s="295"/>
      <c r="J32" s="295"/>
      <c r="K32" s="295"/>
      <c r="L32" s="295"/>
      <c r="M32" s="295"/>
      <c r="N32" s="29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0.35" customHeight="1" thickBot="1" x14ac:dyDescent="0.25">
      <c r="A33" s="297"/>
      <c r="B33" s="298"/>
      <c r="C33" s="298"/>
      <c r="D33" s="298"/>
      <c r="E33" s="298"/>
      <c r="F33" s="298"/>
      <c r="G33" s="298"/>
      <c r="H33" s="298"/>
      <c r="I33" s="298"/>
      <c r="J33" s="298"/>
      <c r="K33" s="298"/>
      <c r="L33" s="298"/>
      <c r="M33" s="298"/>
      <c r="N33" s="299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s="34" customFormat="1" ht="14.1" customHeight="1" thickBot="1" x14ac:dyDescent="0.25">
      <c r="A34" s="280" t="s">
        <v>63</v>
      </c>
      <c r="B34" s="281"/>
      <c r="C34" s="281"/>
      <c r="D34" s="281"/>
      <c r="E34" s="281"/>
      <c r="F34" s="281"/>
      <c r="G34" s="281"/>
      <c r="H34" s="281"/>
      <c r="I34" s="281"/>
      <c r="J34" s="282"/>
      <c r="K34" s="283" t="s">
        <v>64</v>
      </c>
      <c r="L34" s="281"/>
      <c r="M34" s="281"/>
      <c r="N34" s="284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</row>
    <row r="35" spans="1:26" ht="4.3499999999999996" customHeight="1" x14ac:dyDescent="0.2">
      <c r="A35" s="288"/>
      <c r="B35" s="209"/>
      <c r="C35" s="209"/>
      <c r="D35" s="209"/>
      <c r="E35" s="209"/>
      <c r="F35" s="209"/>
      <c r="G35" s="209"/>
      <c r="H35" s="209"/>
      <c r="I35" s="209"/>
      <c r="J35" s="259"/>
      <c r="K35" s="289"/>
      <c r="L35" s="209"/>
      <c r="M35" s="209"/>
      <c r="N35" s="210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5" customHeight="1" x14ac:dyDescent="0.2">
      <c r="A36" s="35"/>
      <c r="B36" s="36" t="s">
        <v>27</v>
      </c>
      <c r="C36" s="37">
        <f>C23</f>
        <v>0</v>
      </c>
      <c r="D36" s="36" t="s">
        <v>65</v>
      </c>
      <c r="E36" s="286"/>
      <c r="F36" s="193"/>
      <c r="G36" s="36" t="s">
        <v>66</v>
      </c>
      <c r="H36" s="286"/>
      <c r="I36" s="192"/>
      <c r="J36" s="192"/>
      <c r="K36" s="38"/>
      <c r="L36" s="39" t="s">
        <v>67</v>
      </c>
      <c r="M36" s="290"/>
      <c r="N36" s="196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5" customHeight="1" x14ac:dyDescent="0.2">
      <c r="A37" s="285" t="s">
        <v>68</v>
      </c>
      <c r="B37" s="187"/>
      <c r="C37" s="187"/>
      <c r="D37" s="40"/>
      <c r="E37" s="40" t="s">
        <v>69</v>
      </c>
      <c r="F37" s="291" t="s">
        <v>67</v>
      </c>
      <c r="G37" s="187"/>
      <c r="H37" s="41"/>
      <c r="I37" s="41"/>
      <c r="J37" s="40" t="s">
        <v>70</v>
      </c>
      <c r="K37" s="38"/>
      <c r="L37" s="39" t="s">
        <v>71</v>
      </c>
      <c r="M37" s="292" t="str">
        <f>IFERROR(M36/C36,"N/A")</f>
        <v>N/A</v>
      </c>
      <c r="N37" s="227"/>
      <c r="O37" s="3"/>
      <c r="P37" s="3"/>
      <c r="Q37" s="3"/>
      <c r="R37" s="3"/>
      <c r="S37" s="3"/>
      <c r="T37" s="42"/>
      <c r="U37" s="3"/>
      <c r="V37" s="3"/>
      <c r="W37" s="3"/>
      <c r="X37" s="3"/>
      <c r="Y37" s="3"/>
      <c r="Z37" s="3"/>
    </row>
    <row r="38" spans="1:26" ht="15" customHeight="1" x14ac:dyDescent="0.2">
      <c r="A38" s="35"/>
      <c r="B38" s="286"/>
      <c r="C38" s="193"/>
      <c r="D38" s="43"/>
      <c r="E38" s="44"/>
      <c r="F38" s="287" t="e">
        <f>F68</f>
        <v>#DIV/0!</v>
      </c>
      <c r="G38" s="179"/>
      <c r="H38" s="45"/>
      <c r="I38" s="45"/>
      <c r="J38" s="153"/>
      <c r="K38" s="38"/>
      <c r="L38" s="39" t="s">
        <v>72</v>
      </c>
      <c r="M38" s="293" t="str">
        <f>IFERROR(M36/M23,"N/A")</f>
        <v>N/A</v>
      </c>
      <c r="N38" s="227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3.75" customHeight="1" x14ac:dyDescent="0.2">
      <c r="A39" s="268"/>
      <c r="B39" s="187"/>
      <c r="C39" s="187"/>
      <c r="D39" s="187"/>
      <c r="E39" s="187"/>
      <c r="F39" s="187"/>
      <c r="G39" s="187"/>
      <c r="H39" s="187"/>
      <c r="I39" s="187"/>
      <c r="J39" s="264"/>
      <c r="K39" s="38"/>
      <c r="L39" s="39"/>
      <c r="M39" s="39"/>
      <c r="N39" s="46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5" customHeight="1" x14ac:dyDescent="0.2">
      <c r="A40" s="35"/>
      <c r="B40" s="47" t="s">
        <v>73</v>
      </c>
      <c r="C40" s="144"/>
      <c r="D40" s="48"/>
      <c r="E40" s="47" t="s">
        <v>74</v>
      </c>
      <c r="F40" s="149"/>
      <c r="G40" s="271" t="s">
        <v>75</v>
      </c>
      <c r="H40" s="187"/>
      <c r="I40" s="188"/>
      <c r="J40" s="149"/>
      <c r="K40" s="38"/>
      <c r="L40" s="39" t="s">
        <v>76</v>
      </c>
      <c r="M40" s="272"/>
      <c r="N40" s="227"/>
      <c r="O40" s="3"/>
      <c r="P40" s="3"/>
      <c r="Q40" s="3"/>
      <c r="R40" s="3"/>
      <c r="S40" s="3"/>
      <c r="T40" s="49" t="s">
        <v>77</v>
      </c>
      <c r="U40" s="3"/>
      <c r="V40" s="3"/>
      <c r="W40" s="3"/>
      <c r="X40" s="3"/>
      <c r="Y40" s="3"/>
      <c r="Z40" s="3"/>
    </row>
    <row r="41" spans="1:26" ht="15" customHeight="1" x14ac:dyDescent="0.2">
      <c r="A41" s="35"/>
      <c r="B41" s="47" t="s">
        <v>78</v>
      </c>
      <c r="C41" s="145"/>
      <c r="D41" s="50"/>
      <c r="E41" s="47" t="s">
        <v>79</v>
      </c>
      <c r="F41" s="150"/>
      <c r="G41" s="273" t="s">
        <v>80</v>
      </c>
      <c r="H41" s="187"/>
      <c r="I41" s="188"/>
      <c r="J41" s="149"/>
      <c r="K41" s="38"/>
      <c r="L41" s="39" t="s">
        <v>81</v>
      </c>
      <c r="M41" s="242"/>
      <c r="N41" s="227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5" customHeight="1" x14ac:dyDescent="0.2">
      <c r="A42" s="274" t="s">
        <v>82</v>
      </c>
      <c r="B42" s="188"/>
      <c r="C42" s="146"/>
      <c r="D42" s="51"/>
      <c r="E42" s="52" t="s">
        <v>83</v>
      </c>
      <c r="F42" s="151"/>
      <c r="G42" s="246" t="s">
        <v>84</v>
      </c>
      <c r="H42" s="187"/>
      <c r="I42" s="188"/>
      <c r="J42" s="154" t="str">
        <f>IF(C41="fsg",(F68/D68)/C36,"")</f>
        <v/>
      </c>
      <c r="K42" s="38"/>
      <c r="L42" s="39" t="s">
        <v>85</v>
      </c>
      <c r="M42" s="243"/>
      <c r="N42" s="196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5" customHeight="1" x14ac:dyDescent="0.2">
      <c r="A43" s="262" t="s">
        <v>86</v>
      </c>
      <c r="B43" s="188"/>
      <c r="C43" s="147"/>
      <c r="D43" s="45"/>
      <c r="E43" s="53" t="s">
        <v>87</v>
      </c>
      <c r="F43" s="152">
        <f>F40+F42+F41</f>
        <v>0</v>
      </c>
      <c r="G43" s="246" t="s">
        <v>88</v>
      </c>
      <c r="H43" s="187"/>
      <c r="I43" s="188"/>
      <c r="J43" s="155" t="str">
        <f>IF(C41="ig",(F68/D68)/C36,"")</f>
        <v/>
      </c>
      <c r="K43" s="38"/>
      <c r="L43" s="39" t="s">
        <v>89</v>
      </c>
      <c r="M43" s="275"/>
      <c r="N43" s="196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5" customHeight="1" x14ac:dyDescent="0.2">
      <c r="A44" s="54"/>
      <c r="B44" s="47" t="s">
        <v>90</v>
      </c>
      <c r="C44" s="148"/>
      <c r="D44" s="55"/>
      <c r="E44" s="56"/>
      <c r="F44" s="56"/>
      <c r="G44" s="247" t="s">
        <v>91</v>
      </c>
      <c r="H44" s="187"/>
      <c r="I44" s="188"/>
      <c r="J44" s="155" t="str">
        <f>IF(C41="NNN",(F68/D68)/C36,"")</f>
        <v/>
      </c>
      <c r="K44" s="38"/>
      <c r="L44" s="39" t="s">
        <v>92</v>
      </c>
      <c r="M44" s="244">
        <f>M43*M36</f>
        <v>0</v>
      </c>
      <c r="N44" s="181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2" customHeight="1" x14ac:dyDescent="0.2">
      <c r="A45" s="263"/>
      <c r="B45" s="187"/>
      <c r="C45" s="187"/>
      <c r="D45" s="187"/>
      <c r="E45" s="187"/>
      <c r="F45" s="187"/>
      <c r="G45" s="187"/>
      <c r="H45" s="187"/>
      <c r="I45" s="187"/>
      <c r="J45" s="264"/>
      <c r="K45" s="57"/>
      <c r="L45" s="39" t="s">
        <v>93</v>
      </c>
      <c r="M45" s="245"/>
      <c r="N45" s="196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5" customHeight="1" x14ac:dyDescent="0.2">
      <c r="A46" s="262" t="s">
        <v>94</v>
      </c>
      <c r="B46" s="188"/>
      <c r="C46" s="270"/>
      <c r="D46" s="192"/>
      <c r="E46" s="192"/>
      <c r="F46" s="192"/>
      <c r="G46" s="193"/>
      <c r="H46" s="265"/>
      <c r="I46" s="187"/>
      <c r="J46" s="264"/>
      <c r="K46" s="266" t="s">
        <v>95</v>
      </c>
      <c r="L46" s="187"/>
      <c r="M46" s="187"/>
      <c r="N46" s="14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3.75" customHeight="1" x14ac:dyDescent="0.2">
      <c r="A47" s="268"/>
      <c r="B47" s="187"/>
      <c r="C47" s="187"/>
      <c r="D47" s="187"/>
      <c r="E47" s="187"/>
      <c r="F47" s="187"/>
      <c r="G47" s="187"/>
      <c r="H47" s="187"/>
      <c r="I47" s="187"/>
      <c r="J47" s="264"/>
      <c r="K47" s="267"/>
      <c r="L47" s="203"/>
      <c r="M47" s="203"/>
      <c r="N47" s="204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9" customHeight="1" x14ac:dyDescent="0.2">
      <c r="A48" s="269" t="s">
        <v>96</v>
      </c>
      <c r="B48" s="187"/>
      <c r="C48" s="187"/>
      <c r="D48" s="187"/>
      <c r="E48" s="187"/>
      <c r="F48" s="187"/>
      <c r="G48" s="187"/>
      <c r="H48" s="187"/>
      <c r="I48" s="187"/>
      <c r="J48" s="187"/>
      <c r="K48" s="187"/>
      <c r="L48" s="187"/>
      <c r="M48" s="187"/>
      <c r="N48" s="21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2" customHeight="1" x14ac:dyDescent="0.2">
      <c r="A49" s="248"/>
      <c r="B49" s="249"/>
      <c r="C49" s="249"/>
      <c r="D49" s="249"/>
      <c r="E49" s="249"/>
      <c r="F49" s="249"/>
      <c r="G49" s="249"/>
      <c r="H49" s="249"/>
      <c r="I49" s="249"/>
      <c r="J49" s="249"/>
      <c r="K49" s="249"/>
      <c r="L49" s="249"/>
      <c r="M49" s="249"/>
      <c r="N49" s="250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2" customHeight="1" x14ac:dyDescent="0.2">
      <c r="A50" s="251"/>
      <c r="B50" s="252"/>
      <c r="C50" s="252"/>
      <c r="D50" s="252"/>
      <c r="E50" s="252"/>
      <c r="F50" s="252"/>
      <c r="G50" s="252"/>
      <c r="H50" s="252"/>
      <c r="I50" s="252"/>
      <c r="J50" s="252"/>
      <c r="K50" s="252"/>
      <c r="L50" s="252"/>
      <c r="M50" s="252"/>
      <c r="N50" s="253"/>
      <c r="O50" s="58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29.25" customHeight="1" x14ac:dyDescent="0.2">
      <c r="A51" s="258" t="s">
        <v>97</v>
      </c>
      <c r="B51" s="259"/>
      <c r="C51" s="254" t="s">
        <v>98</v>
      </c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7"/>
      <c r="O51" s="58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2" customHeight="1" x14ac:dyDescent="0.2">
      <c r="A52" s="260"/>
      <c r="B52" s="261"/>
      <c r="C52" s="59" t="s">
        <v>99</v>
      </c>
      <c r="D52" s="255" t="s">
        <v>69</v>
      </c>
      <c r="E52" s="256"/>
      <c r="F52" s="257" t="s">
        <v>100</v>
      </c>
      <c r="G52" s="206"/>
      <c r="H52" s="206"/>
      <c r="I52" s="206"/>
      <c r="J52" s="256"/>
      <c r="K52" s="60" t="s">
        <v>101</v>
      </c>
      <c r="L52" s="257" t="s">
        <v>102</v>
      </c>
      <c r="M52" s="206"/>
      <c r="N52" s="207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</row>
    <row r="53" spans="1:26" ht="13.35" customHeight="1" x14ac:dyDescent="0.2">
      <c r="A53" s="235">
        <v>10000</v>
      </c>
      <c r="B53" s="236"/>
      <c r="C53" s="156" t="e">
        <f t="shared" ref="C53:C67" si="0">IF(A53&gt;0,A53/$C$36,"")</f>
        <v>#DIV/0!</v>
      </c>
      <c r="D53" s="239"/>
      <c r="E53" s="236"/>
      <c r="F53" s="217" t="e">
        <f>IF(A53&gt;0,D53*C53*$C$36,"")</f>
        <v>#DIV/0!</v>
      </c>
      <c r="G53" s="218"/>
      <c r="H53" s="218"/>
      <c r="I53" s="218"/>
      <c r="J53" s="219"/>
      <c r="K53" s="157"/>
      <c r="L53" s="228" t="str">
        <f t="shared" ref="L53:L67" si="1">IF(K53&gt;0,K53*F53,"")</f>
        <v/>
      </c>
      <c r="M53" s="218"/>
      <c r="N53" s="229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3.35" customHeight="1" x14ac:dyDescent="0.2">
      <c r="A54" s="235"/>
      <c r="B54" s="236"/>
      <c r="C54" s="156" t="str">
        <f t="shared" si="0"/>
        <v/>
      </c>
      <c r="D54" s="239"/>
      <c r="E54" s="236"/>
      <c r="F54" s="217" t="str">
        <f t="shared" ref="F54:F67" si="2">IF(A54&gt;0,D54*C54*$C$36,"")</f>
        <v/>
      </c>
      <c r="G54" s="218"/>
      <c r="H54" s="218"/>
      <c r="I54" s="218"/>
      <c r="J54" s="219"/>
      <c r="K54" s="157"/>
      <c r="L54" s="228" t="str">
        <f t="shared" si="1"/>
        <v/>
      </c>
      <c r="M54" s="218"/>
      <c r="N54" s="229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3.35" customHeight="1" x14ac:dyDescent="0.2">
      <c r="A55" s="235"/>
      <c r="B55" s="236"/>
      <c r="C55" s="156" t="str">
        <f t="shared" si="0"/>
        <v/>
      </c>
      <c r="D55" s="239"/>
      <c r="E55" s="236"/>
      <c r="F55" s="217" t="str">
        <f t="shared" si="2"/>
        <v/>
      </c>
      <c r="G55" s="218"/>
      <c r="H55" s="218"/>
      <c r="I55" s="218"/>
      <c r="J55" s="219"/>
      <c r="K55" s="157"/>
      <c r="L55" s="228" t="str">
        <f t="shared" si="1"/>
        <v/>
      </c>
      <c r="M55" s="218"/>
      <c r="N55" s="229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3.35" customHeight="1" x14ac:dyDescent="0.2">
      <c r="A56" s="235"/>
      <c r="B56" s="236"/>
      <c r="C56" s="156" t="str">
        <f t="shared" si="0"/>
        <v/>
      </c>
      <c r="D56" s="239"/>
      <c r="E56" s="236"/>
      <c r="F56" s="217" t="str">
        <f t="shared" si="2"/>
        <v/>
      </c>
      <c r="G56" s="218"/>
      <c r="H56" s="218"/>
      <c r="I56" s="218"/>
      <c r="J56" s="219"/>
      <c r="K56" s="157"/>
      <c r="L56" s="228" t="str">
        <f t="shared" si="1"/>
        <v/>
      </c>
      <c r="M56" s="218"/>
      <c r="N56" s="229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3.35" customHeight="1" x14ac:dyDescent="0.2">
      <c r="A57" s="235"/>
      <c r="B57" s="236"/>
      <c r="C57" s="156" t="str">
        <f t="shared" si="0"/>
        <v/>
      </c>
      <c r="D57" s="239"/>
      <c r="E57" s="236"/>
      <c r="F57" s="217" t="str">
        <f t="shared" si="2"/>
        <v/>
      </c>
      <c r="G57" s="218"/>
      <c r="H57" s="218"/>
      <c r="I57" s="218"/>
      <c r="J57" s="219"/>
      <c r="K57" s="157"/>
      <c r="L57" s="228" t="str">
        <f t="shared" si="1"/>
        <v/>
      </c>
      <c r="M57" s="218"/>
      <c r="N57" s="229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3.35" customHeight="1" x14ac:dyDescent="0.2">
      <c r="A58" s="235"/>
      <c r="B58" s="236"/>
      <c r="C58" s="156" t="str">
        <f t="shared" si="0"/>
        <v/>
      </c>
      <c r="D58" s="239"/>
      <c r="E58" s="236"/>
      <c r="F58" s="217" t="str">
        <f t="shared" si="2"/>
        <v/>
      </c>
      <c r="G58" s="218"/>
      <c r="H58" s="218"/>
      <c r="I58" s="218"/>
      <c r="J58" s="219"/>
      <c r="K58" s="157"/>
      <c r="L58" s="228" t="str">
        <f t="shared" si="1"/>
        <v/>
      </c>
      <c r="M58" s="218"/>
      <c r="N58" s="229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3.35" customHeight="1" x14ac:dyDescent="0.2">
      <c r="A59" s="235"/>
      <c r="B59" s="236"/>
      <c r="C59" s="156" t="str">
        <f t="shared" si="0"/>
        <v/>
      </c>
      <c r="D59" s="239"/>
      <c r="E59" s="236"/>
      <c r="F59" s="217" t="str">
        <f t="shared" si="2"/>
        <v/>
      </c>
      <c r="G59" s="218"/>
      <c r="H59" s="218"/>
      <c r="I59" s="218"/>
      <c r="J59" s="219"/>
      <c r="K59" s="157"/>
      <c r="L59" s="228" t="str">
        <f t="shared" si="1"/>
        <v/>
      </c>
      <c r="M59" s="218"/>
      <c r="N59" s="229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3.35" customHeight="1" x14ac:dyDescent="0.2">
      <c r="A60" s="235"/>
      <c r="B60" s="236"/>
      <c r="C60" s="156" t="str">
        <f t="shared" si="0"/>
        <v/>
      </c>
      <c r="D60" s="239"/>
      <c r="E60" s="236"/>
      <c r="F60" s="217" t="str">
        <f t="shared" si="2"/>
        <v/>
      </c>
      <c r="G60" s="218"/>
      <c r="H60" s="218"/>
      <c r="I60" s="218"/>
      <c r="J60" s="219"/>
      <c r="K60" s="157"/>
      <c r="L60" s="228" t="str">
        <f t="shared" si="1"/>
        <v/>
      </c>
      <c r="M60" s="218"/>
      <c r="N60" s="229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3.35" customHeight="1" x14ac:dyDescent="0.2">
      <c r="A61" s="235"/>
      <c r="B61" s="236"/>
      <c r="C61" s="156" t="str">
        <f t="shared" si="0"/>
        <v/>
      </c>
      <c r="D61" s="239"/>
      <c r="E61" s="236"/>
      <c r="F61" s="217" t="str">
        <f t="shared" si="2"/>
        <v/>
      </c>
      <c r="G61" s="218"/>
      <c r="H61" s="218"/>
      <c r="I61" s="218"/>
      <c r="J61" s="219"/>
      <c r="K61" s="157"/>
      <c r="L61" s="228" t="str">
        <f t="shared" si="1"/>
        <v/>
      </c>
      <c r="M61" s="218"/>
      <c r="N61" s="229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3.35" customHeight="1" x14ac:dyDescent="0.2">
      <c r="A62" s="235"/>
      <c r="B62" s="236"/>
      <c r="C62" s="156" t="str">
        <f t="shared" si="0"/>
        <v/>
      </c>
      <c r="D62" s="239"/>
      <c r="E62" s="236"/>
      <c r="F62" s="217" t="str">
        <f t="shared" si="2"/>
        <v/>
      </c>
      <c r="G62" s="218"/>
      <c r="H62" s="218"/>
      <c r="I62" s="218"/>
      <c r="J62" s="219"/>
      <c r="K62" s="157"/>
      <c r="L62" s="228" t="str">
        <f t="shared" si="1"/>
        <v/>
      </c>
      <c r="M62" s="218"/>
      <c r="N62" s="229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3.35" customHeight="1" x14ac:dyDescent="0.2">
      <c r="A63" s="235"/>
      <c r="B63" s="236"/>
      <c r="C63" s="156" t="str">
        <f t="shared" si="0"/>
        <v/>
      </c>
      <c r="D63" s="239"/>
      <c r="E63" s="236"/>
      <c r="F63" s="217" t="str">
        <f t="shared" si="2"/>
        <v/>
      </c>
      <c r="G63" s="218"/>
      <c r="H63" s="218"/>
      <c r="I63" s="218"/>
      <c r="J63" s="219"/>
      <c r="K63" s="157"/>
      <c r="L63" s="228" t="str">
        <f t="shared" si="1"/>
        <v/>
      </c>
      <c r="M63" s="218"/>
      <c r="N63" s="229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3.35" customHeight="1" x14ac:dyDescent="0.2">
      <c r="A64" s="235"/>
      <c r="B64" s="236"/>
      <c r="C64" s="156" t="str">
        <f t="shared" si="0"/>
        <v/>
      </c>
      <c r="D64" s="239"/>
      <c r="E64" s="236"/>
      <c r="F64" s="217" t="str">
        <f t="shared" si="2"/>
        <v/>
      </c>
      <c r="G64" s="218"/>
      <c r="H64" s="218"/>
      <c r="I64" s="218"/>
      <c r="J64" s="219"/>
      <c r="K64" s="157"/>
      <c r="L64" s="228" t="str">
        <f t="shared" si="1"/>
        <v/>
      </c>
      <c r="M64" s="218"/>
      <c r="N64" s="229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3.35" customHeight="1" x14ac:dyDescent="0.2">
      <c r="A65" s="235"/>
      <c r="B65" s="236"/>
      <c r="C65" s="156" t="str">
        <f t="shared" si="0"/>
        <v/>
      </c>
      <c r="D65" s="239"/>
      <c r="E65" s="236"/>
      <c r="F65" s="217" t="str">
        <f t="shared" si="2"/>
        <v/>
      </c>
      <c r="G65" s="218"/>
      <c r="H65" s="218"/>
      <c r="I65" s="218"/>
      <c r="J65" s="219"/>
      <c r="K65" s="157"/>
      <c r="L65" s="228" t="str">
        <f t="shared" si="1"/>
        <v/>
      </c>
      <c r="M65" s="218"/>
      <c r="N65" s="229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3.35" customHeight="1" x14ac:dyDescent="0.2">
      <c r="A66" s="235"/>
      <c r="B66" s="236"/>
      <c r="C66" s="156" t="str">
        <f t="shared" si="0"/>
        <v/>
      </c>
      <c r="D66" s="239"/>
      <c r="E66" s="236"/>
      <c r="F66" s="217" t="str">
        <f t="shared" si="2"/>
        <v/>
      </c>
      <c r="G66" s="218"/>
      <c r="H66" s="218"/>
      <c r="I66" s="218"/>
      <c r="J66" s="219"/>
      <c r="K66" s="157"/>
      <c r="L66" s="228" t="str">
        <f t="shared" si="1"/>
        <v/>
      </c>
      <c r="M66" s="218"/>
      <c r="N66" s="229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3.35" customHeight="1" x14ac:dyDescent="0.2">
      <c r="A67" s="235"/>
      <c r="B67" s="236"/>
      <c r="C67" s="156" t="str">
        <f t="shared" si="0"/>
        <v/>
      </c>
      <c r="D67" s="240"/>
      <c r="E67" s="241"/>
      <c r="F67" s="220" t="str">
        <f t="shared" si="2"/>
        <v/>
      </c>
      <c r="G67" s="221"/>
      <c r="H67" s="221"/>
      <c r="I67" s="221"/>
      <c r="J67" s="222"/>
      <c r="K67" s="157"/>
      <c r="L67" s="228" t="str">
        <f t="shared" si="1"/>
        <v/>
      </c>
      <c r="M67" s="218"/>
      <c r="N67" s="229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3.35" customHeight="1" x14ac:dyDescent="0.2">
      <c r="A68" s="237">
        <f>SUM(A53:A67)</f>
        <v>10000</v>
      </c>
      <c r="B68" s="179"/>
      <c r="C68" s="62"/>
      <c r="D68" s="238">
        <f>SUM(D53:E67)</f>
        <v>0</v>
      </c>
      <c r="E68" s="179"/>
      <c r="F68" s="223" t="e">
        <f>SUM(F53:H67)</f>
        <v>#DIV/0!</v>
      </c>
      <c r="G68" s="178"/>
      <c r="H68" s="178"/>
      <c r="I68" s="178"/>
      <c r="J68" s="179"/>
      <c r="K68" s="63" t="s">
        <v>103</v>
      </c>
      <c r="L68" s="231">
        <f>SUM(L53:L67)</f>
        <v>0</v>
      </c>
      <c r="M68" s="178"/>
      <c r="N68" s="181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</row>
    <row r="69" spans="1:26" ht="3.75" customHeight="1" x14ac:dyDescent="0.2">
      <c r="A69" s="224"/>
      <c r="B69" s="187"/>
      <c r="C69" s="187"/>
      <c r="D69" s="187"/>
      <c r="E69" s="187"/>
      <c r="F69" s="187"/>
      <c r="G69" s="187"/>
      <c r="H69" s="187"/>
      <c r="I69" s="187"/>
      <c r="J69" s="187"/>
      <c r="K69" s="187"/>
      <c r="L69" s="187"/>
      <c r="M69" s="187"/>
      <c r="N69" s="21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3.35" customHeight="1" x14ac:dyDescent="0.2">
      <c r="A70" s="65"/>
      <c r="B70" s="214" t="s">
        <v>104</v>
      </c>
      <c r="C70" s="178"/>
      <c r="D70" s="179"/>
      <c r="E70" s="173">
        <f>IF(D68=E38,,"CHECK TERM")</f>
        <v>0</v>
      </c>
      <c r="F70" s="66"/>
      <c r="G70" s="66"/>
      <c r="H70" s="66"/>
      <c r="I70" s="66"/>
      <c r="J70" s="66"/>
      <c r="K70" s="67" t="s">
        <v>105</v>
      </c>
      <c r="L70" s="225"/>
      <c r="M70" s="226"/>
      <c r="N70" s="227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3.75" customHeight="1" x14ac:dyDescent="0.2">
      <c r="A71" s="215"/>
      <c r="B71" s="187"/>
      <c r="C71" s="187"/>
      <c r="D71" s="187"/>
      <c r="E71" s="187"/>
      <c r="F71" s="187"/>
      <c r="G71" s="187"/>
      <c r="H71" s="187"/>
      <c r="I71" s="187"/>
      <c r="J71" s="187"/>
      <c r="K71" s="187"/>
      <c r="L71" s="187"/>
      <c r="M71" s="187"/>
      <c r="N71" s="21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3.35" customHeight="1" x14ac:dyDescent="0.2">
      <c r="A72" s="65"/>
      <c r="B72" s="230" t="str">
        <f>IFERROR(AVERAGE(C53:C67),"N/A")</f>
        <v>N/A</v>
      </c>
      <c r="C72" s="178"/>
      <c r="D72" s="179"/>
      <c r="E72" s="200" t="s">
        <v>106</v>
      </c>
      <c r="F72" s="187"/>
      <c r="G72" s="187"/>
      <c r="H72" s="187"/>
      <c r="I72" s="187"/>
      <c r="J72" s="187"/>
      <c r="K72" s="188"/>
      <c r="L72" s="231">
        <f>M44</f>
        <v>0</v>
      </c>
      <c r="M72" s="178"/>
      <c r="N72" s="181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</row>
    <row r="73" spans="1:26" ht="3.75" customHeight="1" x14ac:dyDescent="0.2">
      <c r="A73" s="215"/>
      <c r="B73" s="187"/>
      <c r="C73" s="187"/>
      <c r="D73" s="187"/>
      <c r="E73" s="187"/>
      <c r="F73" s="187"/>
      <c r="G73" s="187"/>
      <c r="H73" s="187"/>
      <c r="I73" s="187"/>
      <c r="J73" s="187"/>
      <c r="K73" s="187"/>
      <c r="L73" s="187"/>
      <c r="M73" s="187"/>
      <c r="N73" s="21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3.35" customHeight="1" x14ac:dyDescent="0.2">
      <c r="A74" s="65"/>
      <c r="B74" s="214" t="s">
        <v>107</v>
      </c>
      <c r="C74" s="178"/>
      <c r="D74" s="179"/>
      <c r="E74" s="200" t="s">
        <v>108</v>
      </c>
      <c r="F74" s="187"/>
      <c r="G74" s="187"/>
      <c r="H74" s="187"/>
      <c r="I74" s="187"/>
      <c r="J74" s="187"/>
      <c r="K74" s="188"/>
      <c r="L74" s="232"/>
      <c r="M74" s="233"/>
      <c r="N74" s="234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3.75" customHeight="1" x14ac:dyDescent="0.2">
      <c r="A75" s="215"/>
      <c r="B75" s="187"/>
      <c r="C75" s="187"/>
      <c r="D75" s="187"/>
      <c r="E75" s="187"/>
      <c r="F75" s="187"/>
      <c r="G75" s="187"/>
      <c r="H75" s="187"/>
      <c r="I75" s="187"/>
      <c r="J75" s="187"/>
      <c r="K75" s="187"/>
      <c r="L75" s="187"/>
      <c r="M75" s="187"/>
      <c r="N75" s="21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3.35" customHeight="1" x14ac:dyDescent="0.2">
      <c r="A76" s="65"/>
      <c r="B76" s="216" t="str">
        <f>IFERROR(F68/D68,"N/A")</f>
        <v>N/A</v>
      </c>
      <c r="C76" s="178"/>
      <c r="D76" s="179"/>
      <c r="E76" s="200" t="s">
        <v>109</v>
      </c>
      <c r="F76" s="187"/>
      <c r="G76" s="187"/>
      <c r="H76" s="187"/>
      <c r="I76" s="187"/>
      <c r="J76" s="187"/>
      <c r="K76" s="188"/>
      <c r="L76" s="201">
        <f>L68+L70+L72+L74</f>
        <v>0</v>
      </c>
      <c r="M76" s="178"/>
      <c r="N76" s="181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3.75" customHeight="1" x14ac:dyDescent="0.2">
      <c r="A77" s="202"/>
      <c r="B77" s="203"/>
      <c r="C77" s="203"/>
      <c r="D77" s="203"/>
      <c r="E77" s="203"/>
      <c r="F77" s="203"/>
      <c r="G77" s="203"/>
      <c r="H77" s="203"/>
      <c r="I77" s="203"/>
      <c r="J77" s="203"/>
      <c r="K77" s="203"/>
      <c r="L77" s="203"/>
      <c r="M77" s="203"/>
      <c r="N77" s="204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5" customHeight="1" x14ac:dyDescent="0.2">
      <c r="A78" s="205" t="s">
        <v>110</v>
      </c>
      <c r="B78" s="206"/>
      <c r="C78" s="206"/>
      <c r="D78" s="206"/>
      <c r="E78" s="206"/>
      <c r="F78" s="206"/>
      <c r="G78" s="206"/>
      <c r="H78" s="206"/>
      <c r="I78" s="206"/>
      <c r="J78" s="206"/>
      <c r="K78" s="206"/>
      <c r="L78" s="206"/>
      <c r="M78" s="206"/>
      <c r="N78" s="207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</row>
    <row r="79" spans="1:26" ht="2.25" customHeight="1" x14ac:dyDescent="0.2">
      <c r="A79" s="208"/>
      <c r="B79" s="209"/>
      <c r="C79" s="209"/>
      <c r="D79" s="209"/>
      <c r="E79" s="209"/>
      <c r="F79" s="209"/>
      <c r="G79" s="209"/>
      <c r="H79" s="209"/>
      <c r="I79" s="209"/>
      <c r="J79" s="209"/>
      <c r="K79" s="209"/>
      <c r="L79" s="209"/>
      <c r="M79" s="209"/>
      <c r="N79" s="210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5.75" customHeight="1" x14ac:dyDescent="0.2">
      <c r="A80" s="211" t="s">
        <v>111</v>
      </c>
      <c r="B80" s="187"/>
      <c r="C80" s="187"/>
      <c r="D80" s="187"/>
      <c r="E80" s="187"/>
      <c r="F80" s="187"/>
      <c r="G80" s="187"/>
      <c r="H80" s="68"/>
      <c r="I80" s="68"/>
      <c r="J80" s="158"/>
      <c r="K80" s="212" t="s">
        <v>112</v>
      </c>
      <c r="L80" s="187"/>
      <c r="M80" s="187"/>
      <c r="N80" s="21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.5" customHeight="1" x14ac:dyDescent="0.2">
      <c r="A81" s="174"/>
      <c r="B81" s="17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6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5.75" customHeight="1" x14ac:dyDescent="0.2">
      <c r="A82" s="177" t="s">
        <v>113</v>
      </c>
      <c r="B82" s="178"/>
      <c r="C82" s="178"/>
      <c r="D82" s="178"/>
      <c r="E82" s="178"/>
      <c r="F82" s="178"/>
      <c r="G82" s="178"/>
      <c r="H82" s="178"/>
      <c r="I82" s="179"/>
      <c r="J82" s="180" t="s">
        <v>114</v>
      </c>
      <c r="K82" s="178"/>
      <c r="L82" s="178"/>
      <c r="M82" s="178"/>
      <c r="N82" s="181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</row>
    <row r="83" spans="1:26" ht="3.75" customHeight="1" x14ac:dyDescent="0.2">
      <c r="A83" s="185"/>
      <c r="B83" s="183"/>
      <c r="C83" s="183"/>
      <c r="D83" s="183"/>
      <c r="E83" s="183"/>
      <c r="F83" s="183"/>
      <c r="G83" s="183"/>
      <c r="H83" s="183"/>
      <c r="I83" s="69"/>
      <c r="J83" s="182"/>
      <c r="K83" s="183"/>
      <c r="L83" s="183"/>
      <c r="M83" s="183"/>
      <c r="N83" s="184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5" customHeight="1" x14ac:dyDescent="0.2">
      <c r="A84" s="186" t="s">
        <v>115</v>
      </c>
      <c r="B84" s="187"/>
      <c r="C84" s="187"/>
      <c r="D84" s="187"/>
      <c r="E84" s="187"/>
      <c r="F84" s="188"/>
      <c r="G84" s="159"/>
      <c r="H84" s="189"/>
      <c r="I84" s="188"/>
      <c r="J84" s="190" t="s">
        <v>116</v>
      </c>
      <c r="K84" s="187"/>
      <c r="L84" s="187"/>
      <c r="M84" s="187"/>
      <c r="N84" s="162"/>
      <c r="O84" s="70"/>
      <c r="P84" s="70"/>
      <c r="Q84" s="70"/>
      <c r="R84" s="70"/>
      <c r="S84" s="70"/>
      <c r="T84" s="70"/>
      <c r="U84" s="70"/>
      <c r="V84" s="70"/>
      <c r="W84" s="70"/>
      <c r="X84" s="70"/>
      <c r="Y84" s="70"/>
      <c r="Z84" s="70"/>
    </row>
    <row r="85" spans="1:26" ht="15" customHeight="1" x14ac:dyDescent="0.2">
      <c r="A85" s="198" t="s">
        <v>117</v>
      </c>
      <c r="B85" s="188"/>
      <c r="C85" s="191"/>
      <c r="D85" s="192"/>
      <c r="E85" s="192"/>
      <c r="F85" s="192"/>
      <c r="G85" s="193"/>
      <c r="H85" s="194"/>
      <c r="I85" s="188"/>
      <c r="J85" s="71" t="s">
        <v>117</v>
      </c>
      <c r="K85" s="195"/>
      <c r="L85" s="192"/>
      <c r="M85" s="192"/>
      <c r="N85" s="196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5" customHeight="1" x14ac:dyDescent="0.2">
      <c r="A86" s="198" t="s">
        <v>118</v>
      </c>
      <c r="B86" s="188"/>
      <c r="C86" s="191"/>
      <c r="D86" s="192"/>
      <c r="E86" s="192"/>
      <c r="F86" s="192"/>
      <c r="G86" s="193"/>
      <c r="H86" s="194"/>
      <c r="I86" s="188"/>
      <c r="J86" s="71" t="s">
        <v>118</v>
      </c>
      <c r="K86" s="195"/>
      <c r="L86" s="192"/>
      <c r="M86" s="192"/>
      <c r="N86" s="196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5" customHeight="1" x14ac:dyDescent="0.2">
      <c r="A87" s="198" t="s">
        <v>18</v>
      </c>
      <c r="B87" s="188"/>
      <c r="C87" s="199"/>
      <c r="D87" s="192"/>
      <c r="E87" s="192"/>
      <c r="F87" s="192"/>
      <c r="G87" s="193"/>
      <c r="H87" s="194"/>
      <c r="I87" s="188"/>
      <c r="J87" s="71" t="s">
        <v>18</v>
      </c>
      <c r="K87" s="197"/>
      <c r="L87" s="192"/>
      <c r="M87" s="192"/>
      <c r="N87" s="196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5" customHeight="1" x14ac:dyDescent="0.2">
      <c r="A88" s="198" t="s">
        <v>10</v>
      </c>
      <c r="B88" s="188"/>
      <c r="C88" s="191"/>
      <c r="D88" s="192"/>
      <c r="E88" s="192"/>
      <c r="F88" s="192"/>
      <c r="G88" s="193"/>
      <c r="H88" s="194"/>
      <c r="I88" s="188"/>
      <c r="J88" s="71" t="s">
        <v>10</v>
      </c>
      <c r="K88" s="195"/>
      <c r="L88" s="192"/>
      <c r="M88" s="192"/>
      <c r="N88" s="196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5" customHeight="1" x14ac:dyDescent="0.2">
      <c r="A89" s="198" t="s">
        <v>19</v>
      </c>
      <c r="B89" s="188"/>
      <c r="C89" s="160"/>
      <c r="D89" s="161" t="s">
        <v>20</v>
      </c>
      <c r="E89" s="199"/>
      <c r="F89" s="193"/>
      <c r="G89" s="72"/>
      <c r="H89" s="454"/>
      <c r="I89" s="188"/>
      <c r="J89" s="71" t="s">
        <v>19</v>
      </c>
      <c r="K89" s="163"/>
      <c r="L89" s="164" t="s">
        <v>20</v>
      </c>
      <c r="M89" s="163"/>
      <c r="N89" s="7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5" customHeight="1" x14ac:dyDescent="0.2">
      <c r="A90" s="198" t="s">
        <v>21</v>
      </c>
      <c r="B90" s="188"/>
      <c r="C90" s="453"/>
      <c r="D90" s="192"/>
      <c r="E90" s="193"/>
      <c r="F90" s="72"/>
      <c r="G90" s="72"/>
      <c r="H90" s="454"/>
      <c r="I90" s="188"/>
      <c r="J90" s="71" t="s">
        <v>21</v>
      </c>
      <c r="K90" s="455"/>
      <c r="L90" s="193"/>
      <c r="M90" s="74"/>
      <c r="N90" s="7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22.35" customHeight="1" x14ac:dyDescent="0.2">
      <c r="A91" s="426" t="s">
        <v>119</v>
      </c>
      <c r="B91" s="187"/>
      <c r="C91" s="187"/>
      <c r="D91" s="187"/>
      <c r="E91" s="187"/>
      <c r="F91" s="187"/>
      <c r="G91" s="187"/>
      <c r="H91" s="427"/>
      <c r="I91" s="188"/>
      <c r="J91" s="456" t="s">
        <v>120</v>
      </c>
      <c r="K91" s="187"/>
      <c r="L91" s="187"/>
      <c r="M91" s="187"/>
      <c r="N91" s="213"/>
      <c r="O91" s="75"/>
      <c r="P91" s="75"/>
      <c r="Q91" s="75"/>
      <c r="R91" s="75"/>
      <c r="S91" s="75"/>
      <c r="T91" s="75"/>
      <c r="U91" s="75"/>
      <c r="V91" s="75"/>
      <c r="W91" s="75"/>
      <c r="X91" s="75"/>
      <c r="Y91" s="75"/>
      <c r="Z91" s="75"/>
    </row>
    <row r="92" spans="1:26" ht="15" customHeight="1" x14ac:dyDescent="0.2">
      <c r="A92" s="428" t="s">
        <v>121</v>
      </c>
      <c r="B92" s="187"/>
      <c r="C92" s="187"/>
      <c r="D92" s="187"/>
      <c r="E92" s="425"/>
      <c r="F92" s="193"/>
      <c r="G92" s="76"/>
      <c r="H92" s="427"/>
      <c r="I92" s="188"/>
      <c r="J92" s="77"/>
      <c r="K92" s="78" t="s">
        <v>121</v>
      </c>
      <c r="L92" s="425"/>
      <c r="M92" s="193"/>
      <c r="N92" s="79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3.75" customHeight="1" x14ac:dyDescent="0.2">
      <c r="A93" s="80"/>
      <c r="B93" s="81"/>
      <c r="C93" s="81"/>
      <c r="D93" s="81"/>
      <c r="E93" s="81"/>
      <c r="F93" s="81"/>
      <c r="G93" s="81"/>
      <c r="H93" s="81"/>
      <c r="I93" s="82"/>
      <c r="J93" s="431"/>
      <c r="K93" s="203"/>
      <c r="L93" s="203"/>
      <c r="M93" s="203"/>
      <c r="N93" s="204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5" customHeight="1" x14ac:dyDescent="0.2">
      <c r="A94" s="443" t="s">
        <v>122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7"/>
      <c r="O94" s="83"/>
      <c r="P94" s="83"/>
      <c r="Q94" s="83"/>
      <c r="R94" s="83"/>
      <c r="S94" s="83"/>
      <c r="T94" s="83"/>
      <c r="U94" s="83"/>
      <c r="V94" s="83"/>
      <c r="W94" s="83"/>
      <c r="X94" s="83"/>
      <c r="Y94" s="83"/>
      <c r="Z94" s="83"/>
    </row>
    <row r="95" spans="1:26" ht="3.75" customHeight="1" x14ac:dyDescent="0.2">
      <c r="A95" s="413"/>
      <c r="B95" s="209"/>
      <c r="C95" s="209"/>
      <c r="D95" s="209"/>
      <c r="E95" s="209"/>
      <c r="F95" s="209"/>
      <c r="G95" s="209"/>
      <c r="H95" s="209"/>
      <c r="I95" s="209"/>
      <c r="J95" s="209"/>
      <c r="K95" s="209"/>
      <c r="L95" s="209"/>
      <c r="M95" s="209"/>
      <c r="N95" s="210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5" customHeight="1" x14ac:dyDescent="0.2">
      <c r="A96" s="442" t="s">
        <v>123</v>
      </c>
      <c r="B96" s="188"/>
      <c r="C96" s="414" t="str">
        <f>IF(E92="YES",C85,"")</f>
        <v/>
      </c>
      <c r="D96" s="365"/>
      <c r="E96" s="365"/>
      <c r="F96" s="365"/>
      <c r="G96" s="363"/>
      <c r="H96" s="415" t="s">
        <v>124</v>
      </c>
      <c r="I96" s="187"/>
      <c r="J96" s="187"/>
      <c r="K96" s="188"/>
      <c r="L96" s="416">
        <v>0</v>
      </c>
      <c r="M96" s="226"/>
      <c r="N96" s="227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3.75" customHeight="1" x14ac:dyDescent="0.2">
      <c r="A97" s="417"/>
      <c r="B97" s="187"/>
      <c r="C97" s="187"/>
      <c r="D97" s="187"/>
      <c r="E97" s="187"/>
      <c r="F97" s="187"/>
      <c r="G97" s="187"/>
      <c r="H97" s="187"/>
      <c r="I97" s="187"/>
      <c r="J97" s="187"/>
      <c r="K97" s="187"/>
      <c r="L97" s="187"/>
      <c r="M97" s="187"/>
      <c r="N97" s="21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5" customHeight="1" x14ac:dyDescent="0.2">
      <c r="A98" s="442" t="s">
        <v>125</v>
      </c>
      <c r="B98" s="188"/>
      <c r="C98" s="414" t="str">
        <f>IF(L92="yes",K85,"")</f>
        <v/>
      </c>
      <c r="D98" s="365"/>
      <c r="E98" s="365"/>
      <c r="F98" s="365"/>
      <c r="G98" s="363"/>
      <c r="H98" s="415" t="s">
        <v>124</v>
      </c>
      <c r="I98" s="187"/>
      <c r="J98" s="187"/>
      <c r="K98" s="188"/>
      <c r="L98" s="416">
        <v>0</v>
      </c>
      <c r="M98" s="226"/>
      <c r="N98" s="227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5.75" customHeight="1" x14ac:dyDescent="0.2">
      <c r="A99" s="433" t="s">
        <v>126</v>
      </c>
      <c r="B99" s="187"/>
      <c r="C99" s="187"/>
      <c r="D99" s="187"/>
      <c r="E99" s="187"/>
      <c r="F99" s="187"/>
      <c r="G99" s="187"/>
      <c r="H99" s="187"/>
      <c r="I99" s="187"/>
      <c r="J99" s="187"/>
      <c r="K99" s="84"/>
      <c r="L99" s="84"/>
      <c r="M99" s="84"/>
      <c r="N99" s="85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5" customHeight="1" x14ac:dyDescent="0.2">
      <c r="A100" s="86"/>
      <c r="B100" s="87" t="s">
        <v>127</v>
      </c>
      <c r="C100" s="434"/>
      <c r="D100" s="192"/>
      <c r="E100" s="192"/>
      <c r="F100" s="192"/>
      <c r="G100" s="193"/>
      <c r="H100" s="415" t="s">
        <v>124</v>
      </c>
      <c r="I100" s="187"/>
      <c r="J100" s="187"/>
      <c r="K100" s="188"/>
      <c r="L100" s="416">
        <v>0</v>
      </c>
      <c r="M100" s="226"/>
      <c r="N100" s="227"/>
      <c r="O100" s="3"/>
      <c r="P100" s="88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5.75" customHeight="1" x14ac:dyDescent="0.2">
      <c r="A101" s="86"/>
      <c r="B101" s="439" t="s">
        <v>18</v>
      </c>
      <c r="C101" s="435"/>
      <c r="D101" s="436"/>
      <c r="E101" s="436"/>
      <c r="F101" s="436"/>
      <c r="G101" s="335"/>
      <c r="H101" s="432"/>
      <c r="I101" s="187"/>
      <c r="J101" s="187"/>
      <c r="K101" s="187"/>
      <c r="L101" s="187"/>
      <c r="M101" s="187"/>
      <c r="N101" s="21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5" customHeight="1" x14ac:dyDescent="0.2">
      <c r="A102" s="86"/>
      <c r="B102" s="188"/>
      <c r="C102" s="437"/>
      <c r="D102" s="438"/>
      <c r="E102" s="438"/>
      <c r="F102" s="438"/>
      <c r="G102" s="236"/>
      <c r="H102" s="440" t="s">
        <v>128</v>
      </c>
      <c r="I102" s="187"/>
      <c r="J102" s="187"/>
      <c r="K102" s="188"/>
      <c r="L102" s="441">
        <f>L96+L98+L100</f>
        <v>0</v>
      </c>
      <c r="M102" s="178"/>
      <c r="N102" s="181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3.75" customHeight="1" x14ac:dyDescent="0.2">
      <c r="A103" s="429" t="s">
        <v>129</v>
      </c>
      <c r="B103" s="187"/>
      <c r="C103" s="187"/>
      <c r="D103" s="187"/>
      <c r="E103" s="187"/>
      <c r="F103" s="187"/>
      <c r="G103" s="187"/>
      <c r="H103" s="187"/>
      <c r="I103" s="187"/>
      <c r="J103" s="187"/>
      <c r="K103" s="187"/>
      <c r="L103" s="187"/>
      <c r="M103" s="187"/>
      <c r="N103" s="21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5.75" customHeight="1" x14ac:dyDescent="0.2">
      <c r="A104" s="367"/>
      <c r="B104" s="187"/>
      <c r="C104" s="187"/>
      <c r="D104" s="187"/>
      <c r="E104" s="187"/>
      <c r="F104" s="187"/>
      <c r="G104" s="187"/>
      <c r="H104" s="187"/>
      <c r="I104" s="187"/>
      <c r="J104" s="187"/>
      <c r="K104" s="187"/>
      <c r="L104" s="187"/>
      <c r="M104" s="187"/>
      <c r="N104" s="213"/>
      <c r="O104" s="3"/>
      <c r="P104" s="3"/>
      <c r="Q104" s="89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3.75" customHeight="1" x14ac:dyDescent="0.2">
      <c r="A105" s="430"/>
      <c r="B105" s="203"/>
      <c r="C105" s="203"/>
      <c r="D105" s="203"/>
      <c r="E105" s="203"/>
      <c r="F105" s="203"/>
      <c r="G105" s="203"/>
      <c r="H105" s="203"/>
      <c r="I105" s="203"/>
      <c r="J105" s="203"/>
      <c r="K105" s="203"/>
      <c r="L105" s="203"/>
      <c r="M105" s="203"/>
      <c r="N105" s="204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3.75" customHeight="1" x14ac:dyDescent="0.2">
      <c r="A106" s="418"/>
      <c r="B106" s="187"/>
      <c r="C106" s="187"/>
      <c r="D106" s="187"/>
      <c r="E106" s="187"/>
      <c r="F106" s="187"/>
      <c r="G106" s="187"/>
      <c r="H106" s="187"/>
      <c r="I106" s="187"/>
      <c r="J106" s="187"/>
      <c r="K106" s="187"/>
      <c r="L106" s="187"/>
      <c r="M106" s="187"/>
      <c r="N106" s="21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5" customHeight="1" x14ac:dyDescent="0.2">
      <c r="A107" s="419" t="s">
        <v>130</v>
      </c>
      <c r="B107" s="187"/>
      <c r="C107" s="187"/>
      <c r="D107" s="188"/>
      <c r="E107" s="420" t="str">
        <f>IF(G11="y",C12,IF(N11="y",K12,IF(G84="y",C85,IF(N84="y",K85,IF(N46="y",M45,IF(N45="y",K44,""))))))</f>
        <v/>
      </c>
      <c r="F107" s="178"/>
      <c r="G107" s="178"/>
      <c r="H107" s="178"/>
      <c r="I107" s="178"/>
      <c r="J107" s="178"/>
      <c r="K107" s="178"/>
      <c r="L107" s="178"/>
      <c r="M107" s="178"/>
      <c r="N107" s="181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3.75" customHeight="1" x14ac:dyDescent="0.2">
      <c r="A108" s="421"/>
      <c r="B108" s="187"/>
      <c r="C108" s="187"/>
      <c r="D108" s="187"/>
      <c r="E108" s="187"/>
      <c r="F108" s="187"/>
      <c r="G108" s="187"/>
      <c r="H108" s="187"/>
      <c r="I108" s="187"/>
      <c r="J108" s="187"/>
      <c r="K108" s="187"/>
      <c r="L108" s="187"/>
      <c r="M108" s="187"/>
      <c r="N108" s="21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5" customHeight="1" x14ac:dyDescent="0.2">
      <c r="A109" s="423" t="s">
        <v>131</v>
      </c>
      <c r="B109" s="187"/>
      <c r="C109" s="187"/>
      <c r="D109" s="187"/>
      <c r="E109" s="187"/>
      <c r="F109" s="188"/>
      <c r="G109" s="422"/>
      <c r="H109" s="192"/>
      <c r="I109" s="192"/>
      <c r="J109" s="192"/>
      <c r="K109" s="192"/>
      <c r="L109" s="192"/>
      <c r="M109" s="192"/>
      <c r="N109" s="196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5" customHeight="1" x14ac:dyDescent="0.2">
      <c r="A110" s="424" t="s">
        <v>132</v>
      </c>
      <c r="B110" s="187"/>
      <c r="C110" s="187"/>
      <c r="D110" s="187"/>
      <c r="E110" s="187"/>
      <c r="F110" s="188"/>
      <c r="G110" s="422"/>
      <c r="H110" s="192"/>
      <c r="I110" s="192"/>
      <c r="J110" s="192"/>
      <c r="K110" s="192"/>
      <c r="L110" s="192"/>
      <c r="M110" s="192"/>
      <c r="N110" s="196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3.75" customHeight="1" x14ac:dyDescent="0.2">
      <c r="A111" s="421"/>
      <c r="B111" s="187"/>
      <c r="C111" s="187"/>
      <c r="D111" s="187"/>
      <c r="E111" s="187"/>
      <c r="F111" s="187"/>
      <c r="G111" s="187"/>
      <c r="H111" s="187"/>
      <c r="I111" s="187"/>
      <c r="J111" s="187"/>
      <c r="K111" s="187"/>
      <c r="L111" s="187"/>
      <c r="M111" s="187"/>
      <c r="N111" s="21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9.75" customHeight="1" x14ac:dyDescent="0.2">
      <c r="A112" s="392" t="s">
        <v>133</v>
      </c>
      <c r="B112" s="175"/>
      <c r="C112" s="175"/>
      <c r="D112" s="175"/>
      <c r="E112" s="175"/>
      <c r="F112" s="175"/>
      <c r="G112" s="175"/>
      <c r="H112" s="375"/>
      <c r="I112" s="187"/>
      <c r="J112" s="187"/>
      <c r="K112" s="90" t="s">
        <v>134</v>
      </c>
      <c r="L112" s="90" t="s">
        <v>135</v>
      </c>
      <c r="M112" s="90" t="s">
        <v>134</v>
      </c>
      <c r="N112" s="91" t="s">
        <v>135</v>
      </c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5.75" customHeight="1" x14ac:dyDescent="0.2">
      <c r="A113" s="377"/>
      <c r="B113" s="249"/>
      <c r="C113" s="249"/>
      <c r="D113" s="249"/>
      <c r="E113" s="249"/>
      <c r="F113" s="249"/>
      <c r="G113" s="378"/>
      <c r="H113" s="187"/>
      <c r="I113" s="376"/>
      <c r="J113" s="187"/>
      <c r="K113" s="92"/>
      <c r="L113" s="93"/>
      <c r="M113" s="92"/>
      <c r="N113" s="94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5" customHeight="1" x14ac:dyDescent="0.2">
      <c r="A114" s="379"/>
      <c r="B114" s="380"/>
      <c r="C114" s="380"/>
      <c r="D114" s="380"/>
      <c r="E114" s="380"/>
      <c r="F114" s="380"/>
      <c r="G114" s="381"/>
      <c r="H114" s="187"/>
      <c r="I114" s="187"/>
      <c r="J114" s="187"/>
      <c r="K114" s="95"/>
      <c r="L114" s="93"/>
      <c r="M114" s="92"/>
      <c r="N114" s="94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3.75" customHeight="1" x14ac:dyDescent="0.2">
      <c r="A115" s="382"/>
      <c r="B115" s="203"/>
      <c r="C115" s="203"/>
      <c r="D115" s="203"/>
      <c r="E115" s="203"/>
      <c r="F115" s="203"/>
      <c r="G115" s="203"/>
      <c r="H115" s="203"/>
      <c r="I115" s="203"/>
      <c r="J115" s="203"/>
      <c r="K115" s="203"/>
      <c r="L115" s="203"/>
      <c r="M115" s="203"/>
      <c r="N115" s="204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5" customHeight="1" x14ac:dyDescent="0.2">
      <c r="A116" s="383" t="s">
        <v>136</v>
      </c>
      <c r="B116" s="206"/>
      <c r="C116" s="206"/>
      <c r="D116" s="206"/>
      <c r="E116" s="206"/>
      <c r="F116" s="206"/>
      <c r="G116" s="206"/>
      <c r="H116" s="206"/>
      <c r="I116" s="206"/>
      <c r="J116" s="206"/>
      <c r="K116" s="206"/>
      <c r="L116" s="206"/>
      <c r="M116" s="206"/>
      <c r="N116" s="207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3.75" customHeight="1" x14ac:dyDescent="0.2">
      <c r="A117" s="386"/>
      <c r="B117" s="209"/>
      <c r="C117" s="209"/>
      <c r="D117" s="209"/>
      <c r="E117" s="209"/>
      <c r="F117" s="209"/>
      <c r="G117" s="209"/>
      <c r="H117" s="209"/>
      <c r="I117" s="209"/>
      <c r="J117" s="209"/>
      <c r="K117" s="209"/>
      <c r="L117" s="209"/>
      <c r="M117" s="209"/>
      <c r="N117" s="210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5" customHeight="1" x14ac:dyDescent="0.2">
      <c r="A118" s="387"/>
      <c r="B118" s="187"/>
      <c r="C118" s="187"/>
      <c r="D118" s="187"/>
      <c r="E118" s="187"/>
      <c r="F118" s="187"/>
      <c r="G118" s="388" t="s">
        <v>109</v>
      </c>
      <c r="H118" s="178"/>
      <c r="I118" s="178"/>
      <c r="J118" s="178"/>
      <c r="K118" s="178"/>
      <c r="L118" s="389">
        <f>L76</f>
        <v>0</v>
      </c>
      <c r="M118" s="178"/>
      <c r="N118" s="181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</row>
    <row r="119" spans="1:26" ht="15" customHeight="1" x14ac:dyDescent="0.2">
      <c r="A119" s="366">
        <f>D4</f>
        <v>0</v>
      </c>
      <c r="B119" s="187"/>
      <c r="C119" s="187"/>
      <c r="D119" s="187"/>
      <c r="E119" s="187"/>
      <c r="F119" s="188"/>
      <c r="G119" s="390" t="s">
        <v>137</v>
      </c>
      <c r="H119" s="178"/>
      <c r="I119" s="178"/>
      <c r="J119" s="178"/>
      <c r="K119" s="178"/>
      <c r="L119" s="391">
        <f>L102</f>
        <v>0</v>
      </c>
      <c r="M119" s="178"/>
      <c r="N119" s="181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</row>
    <row r="120" spans="1:26" ht="15" customHeight="1" x14ac:dyDescent="0.2">
      <c r="A120" s="367"/>
      <c r="B120" s="187"/>
      <c r="C120" s="187"/>
      <c r="D120" s="187"/>
      <c r="E120" s="187"/>
      <c r="F120" s="188"/>
      <c r="G120" s="384" t="s">
        <v>138</v>
      </c>
      <c r="H120" s="178"/>
      <c r="I120" s="178"/>
      <c r="J120" s="178"/>
      <c r="K120" s="178"/>
      <c r="L120" s="385">
        <f>L118-L119</f>
        <v>0</v>
      </c>
      <c r="M120" s="178"/>
      <c r="N120" s="181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</row>
    <row r="121" spans="1:26" ht="3" customHeight="1" x14ac:dyDescent="0.2">
      <c r="A121" s="355"/>
      <c r="B121" s="187"/>
      <c r="C121" s="187"/>
      <c r="D121" s="187"/>
      <c r="E121" s="187"/>
      <c r="F121" s="187"/>
      <c r="G121" s="187"/>
      <c r="H121" s="187"/>
      <c r="I121" s="187"/>
      <c r="J121" s="187"/>
      <c r="K121" s="187"/>
      <c r="L121" s="187"/>
      <c r="M121" s="187"/>
      <c r="N121" s="21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2.75" customHeight="1" x14ac:dyDescent="0.2">
      <c r="A122" s="368" t="s">
        <v>139</v>
      </c>
      <c r="B122" s="183"/>
      <c r="C122" s="357"/>
      <c r="D122" s="370" t="s">
        <v>140</v>
      </c>
      <c r="E122" s="96" t="s">
        <v>141</v>
      </c>
      <c r="F122" s="371" t="s">
        <v>142</v>
      </c>
      <c r="G122" s="372" t="s">
        <v>143</v>
      </c>
      <c r="H122" s="364" t="s">
        <v>144</v>
      </c>
      <c r="I122" s="183"/>
      <c r="J122" s="357"/>
      <c r="K122" s="372" t="s">
        <v>145</v>
      </c>
      <c r="L122" s="356" t="s">
        <v>146</v>
      </c>
      <c r="M122" s="357"/>
      <c r="N122" s="360" t="s">
        <v>147</v>
      </c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2" customHeight="1" x14ac:dyDescent="0.2">
      <c r="A123" s="369"/>
      <c r="B123" s="175"/>
      <c r="C123" s="359"/>
      <c r="D123" s="175"/>
      <c r="E123" s="97" t="s">
        <v>148</v>
      </c>
      <c r="F123" s="359"/>
      <c r="G123" s="373"/>
      <c r="H123" s="358"/>
      <c r="I123" s="175"/>
      <c r="J123" s="359"/>
      <c r="K123" s="373"/>
      <c r="L123" s="358"/>
      <c r="M123" s="359"/>
      <c r="N123" s="361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5" customHeight="1" x14ac:dyDescent="0.2">
      <c r="A124" s="374"/>
      <c r="B124" s="192"/>
      <c r="C124" s="193"/>
      <c r="D124" s="165"/>
      <c r="E124" s="166"/>
      <c r="F124" s="167" t="str">
        <f>IF(D124="listing",$L$120*E124,IF(D124="Both",H124=$L$120*E124,IF(D124="Procurring",G124=$L$120*E124,IF(D124="Other",K124=$L$120*E124,IF(D124="referring",L124=$L$120-E124,IF(D124="",""))))))</f>
        <v/>
      </c>
      <c r="G124" s="167" t="str">
        <f t="shared" ref="G124:G130" si="3">IF(D124="Procurring",$L$120*E124,IF(C124="N",C124,""))</f>
        <v/>
      </c>
      <c r="H124" s="362" t="str">
        <f t="shared" ref="H124:H130" si="4">IF(D124="Both",$L$120*E124,IF(D124="N",D124,""))</f>
        <v/>
      </c>
      <c r="I124" s="365"/>
      <c r="J124" s="363"/>
      <c r="K124" s="167" t="str">
        <f t="shared" ref="K124:K130" si="5">IF(D124="Other",$L$120*E124,IF(C124="N",C124,""))</f>
        <v/>
      </c>
      <c r="L124" s="362" t="str">
        <f t="shared" ref="L124:L130" si="6">IF(D124="referring", $L$120*E124, IF(C124="n",C124,""))</f>
        <v/>
      </c>
      <c r="M124" s="363"/>
      <c r="N124" s="98">
        <f t="shared" ref="N124:N130" si="7">SUM(F124,G124,H124,K124, L124)/2</f>
        <v>0</v>
      </c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5" customHeight="1" x14ac:dyDescent="0.2">
      <c r="A125" s="374"/>
      <c r="B125" s="192"/>
      <c r="C125" s="193"/>
      <c r="D125" s="165"/>
      <c r="E125" s="168"/>
      <c r="F125" s="167" t="str">
        <f t="shared" ref="F125:F130" si="8">IF(D125="listing",$L$120*E125,IF(D125="Both",H125=$L$120*E125,IF(D125="Procurring",G125=$L$120*E125,IF(D125="Other",K125=$L$120*E125,IF(D125="","")))))</f>
        <v/>
      </c>
      <c r="G125" s="167" t="str">
        <f t="shared" si="3"/>
        <v/>
      </c>
      <c r="H125" s="362" t="str">
        <f t="shared" si="4"/>
        <v/>
      </c>
      <c r="I125" s="365"/>
      <c r="J125" s="363"/>
      <c r="K125" s="167" t="str">
        <f t="shared" si="5"/>
        <v/>
      </c>
      <c r="L125" s="362" t="str">
        <f t="shared" si="6"/>
        <v/>
      </c>
      <c r="M125" s="363"/>
      <c r="N125" s="98">
        <f t="shared" si="7"/>
        <v>0</v>
      </c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5" customHeight="1" x14ac:dyDescent="0.2">
      <c r="A126" s="374"/>
      <c r="B126" s="192"/>
      <c r="C126" s="193"/>
      <c r="D126" s="165"/>
      <c r="E126" s="168"/>
      <c r="F126" s="167" t="str">
        <f t="shared" si="8"/>
        <v/>
      </c>
      <c r="G126" s="167" t="str">
        <f t="shared" si="3"/>
        <v/>
      </c>
      <c r="H126" s="362" t="str">
        <f t="shared" si="4"/>
        <v/>
      </c>
      <c r="I126" s="365"/>
      <c r="J126" s="363"/>
      <c r="K126" s="167" t="str">
        <f t="shared" si="5"/>
        <v/>
      </c>
      <c r="L126" s="362" t="str">
        <f t="shared" si="6"/>
        <v/>
      </c>
      <c r="M126" s="363"/>
      <c r="N126" s="98">
        <f t="shared" si="7"/>
        <v>0</v>
      </c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5" customHeight="1" x14ac:dyDescent="0.2">
      <c r="A127" s="374"/>
      <c r="B127" s="192"/>
      <c r="C127" s="193"/>
      <c r="D127" s="165"/>
      <c r="E127" s="168"/>
      <c r="F127" s="167" t="str">
        <f t="shared" si="8"/>
        <v/>
      </c>
      <c r="G127" s="167" t="str">
        <f t="shared" si="3"/>
        <v/>
      </c>
      <c r="H127" s="362" t="str">
        <f t="shared" si="4"/>
        <v/>
      </c>
      <c r="I127" s="365"/>
      <c r="J127" s="363"/>
      <c r="K127" s="167" t="str">
        <f t="shared" si="5"/>
        <v/>
      </c>
      <c r="L127" s="362" t="str">
        <f t="shared" si="6"/>
        <v/>
      </c>
      <c r="M127" s="363"/>
      <c r="N127" s="98">
        <f t="shared" si="7"/>
        <v>0</v>
      </c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5" customHeight="1" x14ac:dyDescent="0.2">
      <c r="A128" s="374"/>
      <c r="B128" s="192"/>
      <c r="C128" s="193"/>
      <c r="D128" s="165"/>
      <c r="E128" s="168"/>
      <c r="F128" s="167" t="str">
        <f t="shared" si="8"/>
        <v/>
      </c>
      <c r="G128" s="167" t="str">
        <f t="shared" si="3"/>
        <v/>
      </c>
      <c r="H128" s="362" t="str">
        <f t="shared" si="4"/>
        <v/>
      </c>
      <c r="I128" s="365"/>
      <c r="J128" s="363"/>
      <c r="K128" s="167" t="str">
        <f t="shared" si="5"/>
        <v/>
      </c>
      <c r="L128" s="362" t="str">
        <f t="shared" si="6"/>
        <v/>
      </c>
      <c r="M128" s="363"/>
      <c r="N128" s="98">
        <f t="shared" si="7"/>
        <v>0</v>
      </c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5" customHeight="1" x14ac:dyDescent="0.2">
      <c r="A129" s="374"/>
      <c r="B129" s="192"/>
      <c r="C129" s="193"/>
      <c r="D129" s="165"/>
      <c r="E129" s="168"/>
      <c r="F129" s="167" t="str">
        <f t="shared" si="8"/>
        <v/>
      </c>
      <c r="G129" s="167" t="str">
        <f t="shared" si="3"/>
        <v/>
      </c>
      <c r="H129" s="362" t="str">
        <f t="shared" si="4"/>
        <v/>
      </c>
      <c r="I129" s="365"/>
      <c r="J129" s="363"/>
      <c r="K129" s="167" t="str">
        <f t="shared" si="5"/>
        <v/>
      </c>
      <c r="L129" s="362" t="str">
        <f t="shared" si="6"/>
        <v/>
      </c>
      <c r="M129" s="363"/>
      <c r="N129" s="98">
        <f t="shared" si="7"/>
        <v>0</v>
      </c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5" customHeight="1" x14ac:dyDescent="0.2">
      <c r="A130" s="374"/>
      <c r="B130" s="192"/>
      <c r="C130" s="193"/>
      <c r="D130" s="165"/>
      <c r="E130" s="168"/>
      <c r="F130" s="167" t="str">
        <f t="shared" si="8"/>
        <v/>
      </c>
      <c r="G130" s="167" t="str">
        <f t="shared" si="3"/>
        <v/>
      </c>
      <c r="H130" s="362" t="str">
        <f t="shared" si="4"/>
        <v/>
      </c>
      <c r="I130" s="365"/>
      <c r="J130" s="363"/>
      <c r="K130" s="167" t="str">
        <f t="shared" si="5"/>
        <v/>
      </c>
      <c r="L130" s="362" t="str">
        <f t="shared" si="6"/>
        <v/>
      </c>
      <c r="M130" s="363"/>
      <c r="N130" s="98">
        <f t="shared" si="7"/>
        <v>0</v>
      </c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5.75" customHeight="1" x14ac:dyDescent="0.25">
      <c r="A131" s="412" t="s">
        <v>149</v>
      </c>
      <c r="B131" s="178"/>
      <c r="C131" s="178"/>
      <c r="D131" s="179"/>
      <c r="E131" s="99">
        <f t="shared" ref="E131:H131" si="9">SUM(E124:E130)</f>
        <v>0</v>
      </c>
      <c r="F131" s="100">
        <f t="shared" si="9"/>
        <v>0</v>
      </c>
      <c r="G131" s="100">
        <f t="shared" si="9"/>
        <v>0</v>
      </c>
      <c r="H131" s="407">
        <f t="shared" si="9"/>
        <v>0</v>
      </c>
      <c r="I131" s="178"/>
      <c r="J131" s="179"/>
      <c r="K131" s="100">
        <f t="shared" ref="K131:L131" si="10">SUM(K124:K130)</f>
        <v>0</v>
      </c>
      <c r="L131" s="407">
        <f t="shared" si="10"/>
        <v>0</v>
      </c>
      <c r="M131" s="179"/>
      <c r="N131" s="101">
        <f>SUM(N124:N130)</f>
        <v>0</v>
      </c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5.75" customHeight="1" x14ac:dyDescent="0.2">
      <c r="A132" s="408" t="s">
        <v>150</v>
      </c>
      <c r="B132" s="187"/>
      <c r="C132" s="187"/>
      <c r="D132" s="187"/>
      <c r="E132" s="187"/>
      <c r="F132" s="187"/>
      <c r="G132" s="187"/>
      <c r="H132" s="187"/>
      <c r="I132" s="187"/>
      <c r="J132" s="187"/>
      <c r="K132" s="187"/>
      <c r="L132" s="187"/>
      <c r="M132" s="187"/>
      <c r="N132" s="21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2" customHeight="1" x14ac:dyDescent="0.2">
      <c r="A133" s="409"/>
      <c r="B133" s="249"/>
      <c r="C133" s="249"/>
      <c r="D133" s="249"/>
      <c r="E133" s="249"/>
      <c r="F133" s="249"/>
      <c r="G133" s="249"/>
      <c r="H133" s="249"/>
      <c r="I133" s="249"/>
      <c r="J133" s="249"/>
      <c r="K133" s="249"/>
      <c r="L133" s="249"/>
      <c r="M133" s="249"/>
      <c r="N133" s="250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3.75" customHeight="1" x14ac:dyDescent="0.2">
      <c r="A134" s="379"/>
      <c r="B134" s="380"/>
      <c r="C134" s="380"/>
      <c r="D134" s="380"/>
      <c r="E134" s="380"/>
      <c r="F134" s="380"/>
      <c r="G134" s="380"/>
      <c r="H134" s="380"/>
      <c r="I134" s="380"/>
      <c r="J134" s="380"/>
      <c r="K134" s="380"/>
      <c r="L134" s="380"/>
      <c r="M134" s="380"/>
      <c r="N134" s="410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0.5" customHeight="1" x14ac:dyDescent="0.2">
      <c r="A135" s="411" t="s">
        <v>151</v>
      </c>
      <c r="B135" s="17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6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5.75" customHeight="1" x14ac:dyDescent="0.2">
      <c r="A136" s="102">
        <v>8</v>
      </c>
      <c r="B136" s="103" t="s">
        <v>152</v>
      </c>
      <c r="C136" s="104"/>
      <c r="D136" s="105" t="s">
        <v>153</v>
      </c>
      <c r="E136" s="106"/>
      <c r="F136" s="402" t="s">
        <v>154</v>
      </c>
      <c r="G136" s="359"/>
      <c r="H136" s="106"/>
      <c r="I136" s="106"/>
      <c r="J136" s="402" t="s">
        <v>155</v>
      </c>
      <c r="K136" s="359"/>
      <c r="L136" s="106" t="s">
        <v>156</v>
      </c>
      <c r="M136" s="103" t="s">
        <v>157</v>
      </c>
      <c r="N136" s="107" t="s">
        <v>158</v>
      </c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5.75" customHeight="1" x14ac:dyDescent="0.2">
      <c r="A137" s="102"/>
      <c r="B137" s="108">
        <f>L118</f>
        <v>0</v>
      </c>
      <c r="C137" s="109"/>
      <c r="D137" s="108">
        <f>(L119)*-1</f>
        <v>0</v>
      </c>
      <c r="E137" s="109"/>
      <c r="F137" s="403">
        <f>F131+G131+H131+K131+L131</f>
        <v>0</v>
      </c>
      <c r="G137" s="359"/>
      <c r="H137" s="109"/>
      <c r="I137" s="110"/>
      <c r="J137" s="403">
        <f>N124+N125+N126+N127+N128+N129+N130</f>
        <v>0</v>
      </c>
      <c r="K137" s="359"/>
      <c r="L137" s="111">
        <f>K4</f>
        <v>0</v>
      </c>
      <c r="M137" s="112">
        <f>B137+D137-J137</f>
        <v>0</v>
      </c>
      <c r="N137" s="113">
        <f>M137+J137</f>
        <v>0</v>
      </c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.5" customHeight="1" x14ac:dyDescent="0.2">
      <c r="A138" s="404"/>
      <c r="B138" s="187"/>
      <c r="C138" s="187"/>
      <c r="D138" s="187"/>
      <c r="E138" s="187"/>
      <c r="F138" s="187"/>
      <c r="G138" s="187"/>
      <c r="H138" s="187"/>
      <c r="I138" s="187"/>
      <c r="J138" s="187"/>
      <c r="K138" s="187"/>
      <c r="L138" s="187"/>
      <c r="M138" s="187"/>
      <c r="N138" s="21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5.75" customHeight="1" x14ac:dyDescent="0.2">
      <c r="A139" s="393">
        <f>B9</f>
        <v>0</v>
      </c>
      <c r="B139" s="175"/>
      <c r="C139" s="175"/>
      <c r="D139" s="175"/>
      <c r="E139" s="175"/>
      <c r="F139" s="175"/>
      <c r="G139" s="405" t="s">
        <v>159</v>
      </c>
      <c r="H139" s="178"/>
      <c r="I139" s="179"/>
      <c r="J139" s="114" t="s">
        <v>160</v>
      </c>
      <c r="K139" s="114" t="s">
        <v>161</v>
      </c>
      <c r="L139" s="115" t="s">
        <v>162</v>
      </c>
      <c r="M139" s="406" t="s">
        <v>163</v>
      </c>
      <c r="N139" s="181"/>
      <c r="O139" s="116"/>
      <c r="P139" s="116"/>
      <c r="Q139" s="116"/>
      <c r="R139" s="116"/>
      <c r="S139" s="116"/>
      <c r="T139" s="116"/>
      <c r="U139" s="116"/>
      <c r="V139" s="116"/>
      <c r="W139" s="116"/>
      <c r="X139" s="116"/>
      <c r="Y139" s="116"/>
      <c r="Z139" s="116"/>
    </row>
    <row r="140" spans="1:26" ht="13.35" customHeight="1" thickBot="1" x14ac:dyDescent="0.25">
      <c r="A140" s="394"/>
      <c r="B140" s="395"/>
      <c r="C140" s="395"/>
      <c r="D140" s="395"/>
      <c r="E140" s="395"/>
      <c r="F140" s="396"/>
      <c r="G140" s="397"/>
      <c r="H140" s="398"/>
      <c r="I140" s="399"/>
      <c r="J140" s="117" t="s">
        <v>164</v>
      </c>
      <c r="K140" s="117">
        <f>L1</f>
        <v>0</v>
      </c>
      <c r="L140" s="118" t="s">
        <v>165</v>
      </c>
      <c r="M140" s="400"/>
      <c r="N140" s="401"/>
      <c r="O140" s="116"/>
      <c r="P140" s="116"/>
      <c r="Q140" s="116"/>
      <c r="R140" s="116"/>
      <c r="S140" s="116"/>
      <c r="T140" s="116"/>
      <c r="U140" s="116"/>
      <c r="V140" s="116"/>
      <c r="W140" s="116"/>
      <c r="X140" s="116"/>
      <c r="Y140" s="116"/>
      <c r="Z140" s="116"/>
    </row>
    <row r="141" spans="1:26" ht="13.5" hidden="1" customHeight="1" x14ac:dyDescent="0.2">
      <c r="A141" s="64" t="s">
        <v>166</v>
      </c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3.5" hidden="1" customHeight="1" x14ac:dyDescent="0.2">
      <c r="A142" s="64" t="s">
        <v>167</v>
      </c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3.5" hidden="1" customHeight="1" x14ac:dyDescent="0.2">
      <c r="A143" s="64" t="s">
        <v>168</v>
      </c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3.5" hidden="1" customHeight="1" x14ac:dyDescent="0.2">
      <c r="A144" s="64" t="s">
        <v>169</v>
      </c>
      <c r="B144" s="3"/>
      <c r="C144" s="3"/>
      <c r="D144" s="3"/>
      <c r="E144" s="3"/>
      <c r="F144" s="3"/>
      <c r="G144" s="3"/>
      <c r="H144" s="3"/>
      <c r="I144" s="3"/>
      <c r="J144" s="119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3.5" hidden="1" customHeight="1" x14ac:dyDescent="0.2">
      <c r="A145" s="64" t="s">
        <v>170</v>
      </c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3.5" hidden="1" customHeight="1" x14ac:dyDescent="0.2">
      <c r="A146" s="64" t="s">
        <v>171</v>
      </c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3.5" hidden="1" customHeight="1" x14ac:dyDescent="0.2">
      <c r="A147" s="64" t="s">
        <v>172</v>
      </c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3.5" hidden="1" customHeight="1" x14ac:dyDescent="0.2">
      <c r="A148" s="64" t="s">
        <v>173</v>
      </c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3.5" hidden="1" customHeight="1" x14ac:dyDescent="0.2">
      <c r="A149" s="64" t="s">
        <v>373</v>
      </c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3.5" hidden="1" customHeight="1" x14ac:dyDescent="0.2">
      <c r="A150" s="64" t="s">
        <v>174</v>
      </c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3.5" hidden="1" customHeight="1" x14ac:dyDescent="0.2">
      <c r="A151" s="64" t="s">
        <v>175</v>
      </c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3.5" hidden="1" customHeight="1" x14ac:dyDescent="0.2">
      <c r="A152" s="64" t="s">
        <v>176</v>
      </c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3.5" hidden="1" customHeight="1" x14ac:dyDescent="0.2">
      <c r="A153" s="64" t="s">
        <v>177</v>
      </c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3.5" hidden="1" customHeight="1" x14ac:dyDescent="0.2">
      <c r="A154" s="64" t="s">
        <v>178</v>
      </c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3.5" hidden="1" customHeight="1" x14ac:dyDescent="0.2">
      <c r="A155" s="64" t="s">
        <v>179</v>
      </c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3.5" hidden="1" customHeight="1" x14ac:dyDescent="0.2">
      <c r="A156" s="64" t="s">
        <v>180</v>
      </c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3.5" hidden="1" customHeight="1" x14ac:dyDescent="0.2">
      <c r="A157" s="64" t="s">
        <v>181</v>
      </c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3.5" hidden="1" customHeight="1" x14ac:dyDescent="0.2">
      <c r="A158" s="64" t="s">
        <v>182</v>
      </c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3.5" hidden="1" customHeight="1" x14ac:dyDescent="0.2">
      <c r="A159" s="64" t="s">
        <v>183</v>
      </c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3.5" hidden="1" customHeight="1" x14ac:dyDescent="0.2">
      <c r="A160" s="64" t="s">
        <v>184</v>
      </c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3.5" hidden="1" customHeight="1" x14ac:dyDescent="0.2">
      <c r="A161" s="64" t="s">
        <v>185</v>
      </c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3.5" hidden="1" customHeight="1" x14ac:dyDescent="0.2">
      <c r="A162" s="64" t="s">
        <v>186</v>
      </c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3.5" hidden="1" customHeight="1" x14ac:dyDescent="0.2">
      <c r="A163" s="64" t="s">
        <v>187</v>
      </c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3.5" hidden="1" customHeight="1" x14ac:dyDescent="0.2">
      <c r="A164" s="64" t="s">
        <v>188</v>
      </c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3.5" hidden="1" customHeight="1" x14ac:dyDescent="0.2">
      <c r="A165" s="120" t="s">
        <v>189</v>
      </c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3.5" hidden="1" customHeight="1" x14ac:dyDescent="0.2">
      <c r="A166" s="120" t="s">
        <v>190</v>
      </c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3.5" hidden="1" customHeight="1" x14ac:dyDescent="0.2">
      <c r="A167" s="120" t="s">
        <v>191</v>
      </c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3.5" hidden="1" customHeight="1" x14ac:dyDescent="0.2">
      <c r="A168" s="120" t="s">
        <v>192</v>
      </c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3.5" hidden="1" customHeight="1" x14ac:dyDescent="0.2">
      <c r="A169" s="120" t="s">
        <v>193</v>
      </c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3.5" hidden="1" customHeight="1" x14ac:dyDescent="0.2">
      <c r="A170" s="120" t="s">
        <v>194</v>
      </c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3.5" hidden="1" customHeight="1" x14ac:dyDescent="0.2">
      <c r="A171" s="120" t="s">
        <v>195</v>
      </c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3.5" hidden="1" customHeight="1" x14ac:dyDescent="0.2">
      <c r="A172" s="120" t="s">
        <v>196</v>
      </c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3.5" hidden="1" customHeight="1" x14ac:dyDescent="0.2">
      <c r="A173" s="120" t="s">
        <v>197</v>
      </c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3.5" hidden="1" customHeight="1" x14ac:dyDescent="0.2">
      <c r="A174" s="120" t="s">
        <v>198</v>
      </c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3.5" hidden="1" customHeight="1" x14ac:dyDescent="0.2">
      <c r="A175" s="120" t="s">
        <v>199</v>
      </c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3.5" hidden="1" customHeight="1" x14ac:dyDescent="0.2">
      <c r="A176" s="120" t="s">
        <v>193</v>
      </c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3.5" hidden="1" customHeight="1" x14ac:dyDescent="0.2">
      <c r="A177" s="120" t="s">
        <v>200</v>
      </c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3.5" hidden="1" customHeight="1" x14ac:dyDescent="0.2">
      <c r="A178" s="120" t="s">
        <v>201</v>
      </c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3.5" hidden="1" customHeight="1" x14ac:dyDescent="0.2">
      <c r="A179" s="120" t="s">
        <v>202</v>
      </c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3.5" hidden="1" customHeight="1" x14ac:dyDescent="0.2">
      <c r="A180" s="120" t="s">
        <v>203</v>
      </c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3.5" hidden="1" customHeight="1" x14ac:dyDescent="0.2">
      <c r="A181" s="120" t="s">
        <v>204</v>
      </c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3.5" hidden="1" customHeight="1" x14ac:dyDescent="0.2">
      <c r="A182" s="120" t="s">
        <v>183</v>
      </c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3.5" hidden="1" customHeight="1" x14ac:dyDescent="0.2">
      <c r="A183" s="64" t="s">
        <v>205</v>
      </c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3.5" hidden="1" customHeight="1" x14ac:dyDescent="0.2">
      <c r="A184" s="64" t="s">
        <v>206</v>
      </c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3.5" hidden="1" customHeight="1" x14ac:dyDescent="0.2">
      <c r="A185" s="64" t="s">
        <v>207</v>
      </c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3.5" hidden="1" customHeight="1" x14ac:dyDescent="0.2">
      <c r="A186" s="64" t="s">
        <v>208</v>
      </c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3.5" hidden="1" customHeight="1" x14ac:dyDescent="0.2">
      <c r="A187" s="64" t="s">
        <v>209</v>
      </c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3.5" hidden="1" customHeight="1" x14ac:dyDescent="0.2">
      <c r="A188" s="3" t="s">
        <v>210</v>
      </c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3.5" hidden="1" customHeight="1" x14ac:dyDescent="0.2">
      <c r="A189" s="3" t="s">
        <v>211</v>
      </c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3.5" hidden="1" customHeight="1" x14ac:dyDescent="0.2">
      <c r="A190" s="3" t="s">
        <v>212</v>
      </c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3.5" hidden="1" customHeight="1" x14ac:dyDescent="0.2">
      <c r="A191" s="3" t="s">
        <v>169</v>
      </c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3.5" hidden="1" customHeight="1" x14ac:dyDescent="0.2">
      <c r="A192" s="3" t="s">
        <v>213</v>
      </c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3.5" hidden="1" customHeight="1" x14ac:dyDescent="0.2">
      <c r="A193" s="3" t="s">
        <v>214</v>
      </c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3.5" hidden="1" customHeight="1" x14ac:dyDescent="0.2">
      <c r="A194" s="3" t="s">
        <v>215</v>
      </c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3.5" hidden="1" customHeight="1" x14ac:dyDescent="0.2">
      <c r="A195" s="3" t="s">
        <v>216</v>
      </c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3.5" hidden="1" customHeight="1" x14ac:dyDescent="0.2">
      <c r="A196" s="3" t="s">
        <v>217</v>
      </c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3.5" hidden="1" customHeight="1" x14ac:dyDescent="0.2">
      <c r="A197" s="3" t="s">
        <v>205</v>
      </c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3.5" hidden="1" customHeight="1" x14ac:dyDescent="0.2">
      <c r="A198" s="3" t="s">
        <v>372</v>
      </c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3.5" hidden="1" customHeight="1" x14ac:dyDescent="0.2">
      <c r="A199" s="3" t="s">
        <v>207</v>
      </c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3.5" hidden="1" customHeight="1" x14ac:dyDescent="0.2">
      <c r="A200" s="3" t="s">
        <v>206</v>
      </c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3.5" hidden="1" customHeight="1" x14ac:dyDescent="0.2">
      <c r="A201" s="3" t="s">
        <v>218</v>
      </c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3.5" hidden="1" customHeight="1" x14ac:dyDescent="0.2">
      <c r="A202" s="3" t="s">
        <v>219</v>
      </c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3.5" hidden="1" customHeight="1" x14ac:dyDescent="0.2">
      <c r="A203" s="3" t="s">
        <v>215</v>
      </c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3.5" hidden="1" customHeight="1" x14ac:dyDescent="0.2">
      <c r="A204" s="3" t="s">
        <v>220</v>
      </c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3.5" hidden="1" customHeight="1" x14ac:dyDescent="0.2">
      <c r="A205" s="3" t="s">
        <v>221</v>
      </c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3.5" hidden="1" customHeight="1" x14ac:dyDescent="0.2">
      <c r="A206" s="3" t="s">
        <v>222</v>
      </c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3.5" hidden="1" customHeight="1" x14ac:dyDescent="0.2">
      <c r="A207" s="3" t="s">
        <v>223</v>
      </c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3.5" hidden="1" customHeight="1" x14ac:dyDescent="0.2">
      <c r="A208" s="3" t="s">
        <v>224</v>
      </c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3.5" hidden="1" customHeight="1" x14ac:dyDescent="0.2">
      <c r="A209" s="3" t="s">
        <v>225</v>
      </c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3.5" hidden="1" customHeight="1" x14ac:dyDescent="0.2">
      <c r="A210" s="3" t="s">
        <v>226</v>
      </c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3.5" hidden="1" customHeight="1" x14ac:dyDescent="0.2">
      <c r="A211" s="3" t="s">
        <v>227</v>
      </c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3.5" hidden="1" customHeight="1" x14ac:dyDescent="0.2">
      <c r="A212" s="3" t="s">
        <v>169</v>
      </c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3.5" hidden="1" customHeight="1" x14ac:dyDescent="0.2">
      <c r="A213" s="3" t="s">
        <v>228</v>
      </c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3.5" hidden="1" customHeight="1" x14ac:dyDescent="0.2">
      <c r="A214" s="3" t="s">
        <v>229</v>
      </c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3.5" hidden="1" customHeight="1" x14ac:dyDescent="0.2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3.5" hidden="1" customHeight="1" x14ac:dyDescent="0.2">
      <c r="A216" s="3" t="s">
        <v>230</v>
      </c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3.5" hidden="1" customHeight="1" x14ac:dyDescent="0.2">
      <c r="A217" s="3" t="s">
        <v>229</v>
      </c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3.5" hidden="1" customHeight="1" x14ac:dyDescent="0.2">
      <c r="A218" s="3" t="s">
        <v>231</v>
      </c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3.5" hidden="1" customHeight="1" x14ac:dyDescent="0.2">
      <c r="A219" s="3" t="s">
        <v>232</v>
      </c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3.5" hidden="1" customHeight="1" x14ac:dyDescent="0.2">
      <c r="A220" s="3" t="s">
        <v>233</v>
      </c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3.5" hidden="1" customHeight="1" x14ac:dyDescent="0.2">
      <c r="A221" s="3" t="s">
        <v>234</v>
      </c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3.5" hidden="1" customHeight="1" x14ac:dyDescent="0.2">
      <c r="A222" s="3" t="s">
        <v>235</v>
      </c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3.5" hidden="1" customHeight="1" x14ac:dyDescent="0.2">
      <c r="A223" s="3" t="s">
        <v>236</v>
      </c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3.5" hidden="1" customHeight="1" x14ac:dyDescent="0.2">
      <c r="A224" s="3" t="s">
        <v>237</v>
      </c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3.5" hidden="1" customHeight="1" x14ac:dyDescent="0.2">
      <c r="A225" s="3" t="s">
        <v>238</v>
      </c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3.5" hidden="1" customHeight="1" x14ac:dyDescent="0.2">
      <c r="A226" s="3" t="s">
        <v>239</v>
      </c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3.5" hidden="1" customHeight="1" x14ac:dyDescent="0.2">
      <c r="A227" s="3" t="s">
        <v>240</v>
      </c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3.5" hidden="1" customHeight="1" x14ac:dyDescent="0.2">
      <c r="A228" s="3" t="s">
        <v>241</v>
      </c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3.5" hidden="1" customHeight="1" x14ac:dyDescent="0.2">
      <c r="A229" s="3" t="s">
        <v>242</v>
      </c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3.5" hidden="1" customHeight="1" x14ac:dyDescent="0.2">
      <c r="A230" s="3" t="s">
        <v>206</v>
      </c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3.5" hidden="1" customHeight="1" x14ac:dyDescent="0.2">
      <c r="A231" s="3" t="s">
        <v>243</v>
      </c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3.5" hidden="1" customHeight="1" x14ac:dyDescent="0.2">
      <c r="A232" s="3" t="s">
        <v>217</v>
      </c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3.5" hidden="1" customHeight="1" x14ac:dyDescent="0.2">
      <c r="A233" s="3" t="s">
        <v>244</v>
      </c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3.5" hidden="1" customHeight="1" x14ac:dyDescent="0.2">
      <c r="A234" s="3" t="s">
        <v>205</v>
      </c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3.5" hidden="1" customHeight="1" x14ac:dyDescent="0.2">
      <c r="A235" s="3" t="s">
        <v>195</v>
      </c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3.5" hidden="1" customHeight="1" x14ac:dyDescent="0.2">
      <c r="A236" s="3" t="s">
        <v>371</v>
      </c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3.5" hidden="1" customHeight="1" x14ac:dyDescent="0.2">
      <c r="A237" s="3" t="s">
        <v>244</v>
      </c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3.5" hidden="1" customHeight="1" x14ac:dyDescent="0.2">
      <c r="A238" s="3" t="s">
        <v>245</v>
      </c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3.5" hidden="1" customHeight="1" x14ac:dyDescent="0.2">
      <c r="A239" s="3" t="s">
        <v>246</v>
      </c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3.5" hidden="1" customHeight="1" x14ac:dyDescent="0.2">
      <c r="A240" s="3" t="s">
        <v>237</v>
      </c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3.5" hidden="1" customHeight="1" x14ac:dyDescent="0.2">
      <c r="A241" s="3" t="s">
        <v>247</v>
      </c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3.5" hidden="1" customHeight="1" x14ac:dyDescent="0.2">
      <c r="A242" s="3" t="s">
        <v>248</v>
      </c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3.5" hidden="1" customHeight="1" x14ac:dyDescent="0.2">
      <c r="A243" s="3" t="s">
        <v>249</v>
      </c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3.5" hidden="1" customHeight="1" x14ac:dyDescent="0.2">
      <c r="A244" s="3" t="s">
        <v>250</v>
      </c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3.5" hidden="1" customHeight="1" x14ac:dyDescent="0.2">
      <c r="A245" s="3" t="s">
        <v>251</v>
      </c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3.5" hidden="1" customHeight="1" x14ac:dyDescent="0.2">
      <c r="A246" s="3" t="s">
        <v>252</v>
      </c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3.5" hidden="1" customHeight="1" x14ac:dyDescent="0.2">
      <c r="A247" s="3" t="s">
        <v>253</v>
      </c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3.5" hidden="1" customHeight="1" x14ac:dyDescent="0.2">
      <c r="A248" s="3" t="s">
        <v>254</v>
      </c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3.5" hidden="1" customHeight="1" x14ac:dyDescent="0.2">
      <c r="A249" s="3" t="s">
        <v>255</v>
      </c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3.5" hidden="1" customHeight="1" x14ac:dyDescent="0.2">
      <c r="A250" s="3" t="s">
        <v>256</v>
      </c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3.5" hidden="1" customHeight="1" x14ac:dyDescent="0.2">
      <c r="A251" s="3" t="s">
        <v>183</v>
      </c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3.5" hidden="1" customHeight="1" x14ac:dyDescent="0.2">
      <c r="A252" s="3" t="s">
        <v>257</v>
      </c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3.5" hidden="1" customHeight="1" x14ac:dyDescent="0.2">
      <c r="A253" s="3" t="s">
        <v>258</v>
      </c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3.5" hidden="1" customHeight="1" x14ac:dyDescent="0.2">
      <c r="A254" s="3" t="s">
        <v>259</v>
      </c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3.5" hidden="1" customHeight="1" x14ac:dyDescent="0.2">
      <c r="A255" s="3" t="s">
        <v>260</v>
      </c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3.5" hidden="1" customHeight="1" x14ac:dyDescent="0.2">
      <c r="A256" s="3" t="s">
        <v>261</v>
      </c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3.5" hidden="1" customHeight="1" x14ac:dyDescent="0.2">
      <c r="A257" s="3" t="s">
        <v>262</v>
      </c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3.5" hidden="1" customHeight="1" x14ac:dyDescent="0.2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3.5" hidden="1" customHeight="1" x14ac:dyDescent="0.2">
      <c r="A259" s="3" t="s">
        <v>168</v>
      </c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3.5" hidden="1" customHeight="1" x14ac:dyDescent="0.2">
      <c r="A260" s="3" t="s">
        <v>263</v>
      </c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3.5" hidden="1" customHeight="1" x14ac:dyDescent="0.2">
      <c r="A261" s="3" t="s">
        <v>264</v>
      </c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3.5" hidden="1" customHeight="1" x14ac:dyDescent="0.2">
      <c r="A262" s="3" t="s">
        <v>265</v>
      </c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3.5" hidden="1" customHeight="1" x14ac:dyDescent="0.2">
      <c r="A263" s="121" t="s">
        <v>183</v>
      </c>
      <c r="B263" s="121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3.5" hidden="1" customHeight="1" x14ac:dyDescent="0.2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3.5" hidden="1" customHeight="1" x14ac:dyDescent="0.2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3.5" hidden="1" customHeight="1" x14ac:dyDescent="0.2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3.5" hidden="1" customHeight="1" x14ac:dyDescent="0.2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3.5" hidden="1" customHeight="1" x14ac:dyDescent="0.2">
      <c r="A268" s="3" t="s">
        <v>266</v>
      </c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3.5" hidden="1" customHeight="1" x14ac:dyDescent="0.2">
      <c r="A269" s="3" t="s">
        <v>267</v>
      </c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3.5" hidden="1" customHeight="1" x14ac:dyDescent="0.2">
      <c r="A270" s="3" t="s">
        <v>268</v>
      </c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3.5" hidden="1" customHeight="1" x14ac:dyDescent="0.2">
      <c r="A271" s="3" t="s">
        <v>269</v>
      </c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3.5" hidden="1" customHeight="1" x14ac:dyDescent="0.2">
      <c r="A272" s="3" t="s">
        <v>270</v>
      </c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3.5" hidden="1" customHeight="1" x14ac:dyDescent="0.2">
      <c r="A273" s="3" t="s">
        <v>271</v>
      </c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3.5" hidden="1" customHeight="1" x14ac:dyDescent="0.2">
      <c r="A274" s="3" t="s">
        <v>272</v>
      </c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3.5" hidden="1" customHeight="1" x14ac:dyDescent="0.2">
      <c r="A275" s="3" t="s">
        <v>377</v>
      </c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3.5" hidden="1" customHeight="1" x14ac:dyDescent="0.2">
      <c r="A276" s="3" t="s">
        <v>273</v>
      </c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3.5" hidden="1" customHeight="1" x14ac:dyDescent="0.2">
      <c r="A277" s="3" t="s">
        <v>274</v>
      </c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3.5" hidden="1" customHeight="1" x14ac:dyDescent="0.2">
      <c r="A278" s="3" t="s">
        <v>275</v>
      </c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3.5" hidden="1" customHeight="1" x14ac:dyDescent="0.2">
      <c r="A279" s="3" t="s">
        <v>366</v>
      </c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3.5" hidden="1" customHeight="1" x14ac:dyDescent="0.2">
      <c r="A280" s="3" t="s">
        <v>370</v>
      </c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3.5" hidden="1" customHeight="1" x14ac:dyDescent="0.2">
      <c r="A281" s="3" t="s">
        <v>374</v>
      </c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3.5" hidden="1" customHeight="1" x14ac:dyDescent="0.2">
      <c r="A282" s="3" t="s">
        <v>276</v>
      </c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3.5" hidden="1" customHeight="1" x14ac:dyDescent="0.2">
      <c r="A283" s="3" t="s">
        <v>277</v>
      </c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3.5" hidden="1" customHeight="1" x14ac:dyDescent="0.2">
      <c r="A284" s="3" t="s">
        <v>367</v>
      </c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3.5" hidden="1" customHeight="1" x14ac:dyDescent="0.2">
      <c r="A285" s="3" t="s">
        <v>278</v>
      </c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3.5" hidden="1" customHeight="1" x14ac:dyDescent="0.2">
      <c r="A286" s="3" t="s">
        <v>368</v>
      </c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3.5" hidden="1" customHeight="1" x14ac:dyDescent="0.2">
      <c r="A287" s="3" t="s">
        <v>279</v>
      </c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3.5" hidden="1" customHeight="1" x14ac:dyDescent="0.2">
      <c r="A288" s="3" t="s">
        <v>280</v>
      </c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3.5" hidden="1" customHeight="1" x14ac:dyDescent="0.2">
      <c r="A289" s="3" t="s">
        <v>281</v>
      </c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3.5" hidden="1" customHeight="1" x14ac:dyDescent="0.2">
      <c r="A290" s="3" t="s">
        <v>282</v>
      </c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3.5" hidden="1" customHeight="1" x14ac:dyDescent="0.2">
      <c r="A291" s="3" t="s">
        <v>283</v>
      </c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3.5" hidden="1" customHeight="1" x14ac:dyDescent="0.2">
      <c r="A292" s="3" t="s">
        <v>369</v>
      </c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3.5" hidden="1" customHeight="1" x14ac:dyDescent="0.2">
      <c r="A293" s="3" t="s">
        <v>284</v>
      </c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3.5" hidden="1" customHeight="1" x14ac:dyDescent="0.2">
      <c r="A294" s="3" t="s">
        <v>285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3.5" hidden="1" customHeight="1" x14ac:dyDescent="0.2">
      <c r="A295" s="3" t="s">
        <v>375</v>
      </c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3.5" hidden="1" customHeight="1" x14ac:dyDescent="0.2">
      <c r="A296" s="3" t="s">
        <v>286</v>
      </c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3.5" hidden="1" customHeight="1" x14ac:dyDescent="0.2">
      <c r="A297" s="3" t="s">
        <v>287</v>
      </c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3.5" hidden="1" customHeight="1" x14ac:dyDescent="0.2">
      <c r="A298" s="3" t="s">
        <v>288</v>
      </c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3.5" hidden="1" customHeight="1" x14ac:dyDescent="0.2">
      <c r="A299" s="3" t="s">
        <v>289</v>
      </c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3.5" hidden="1" customHeight="1" x14ac:dyDescent="0.2">
      <c r="A300" s="3" t="s">
        <v>290</v>
      </c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3.5" hidden="1" customHeight="1" x14ac:dyDescent="0.2">
      <c r="A301" s="3" t="s">
        <v>291</v>
      </c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3.5" hidden="1" customHeight="1" x14ac:dyDescent="0.2">
      <c r="A302" s="3" t="s">
        <v>292</v>
      </c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3.5" hidden="1" customHeight="1" x14ac:dyDescent="0.2">
      <c r="A303" s="3" t="s">
        <v>293</v>
      </c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3.5" hidden="1" customHeight="1" x14ac:dyDescent="0.2">
      <c r="A304" s="3" t="s">
        <v>294</v>
      </c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3.5" hidden="1" customHeight="1" x14ac:dyDescent="0.2">
      <c r="A305" s="3" t="s">
        <v>378</v>
      </c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3.5" hidden="1" customHeight="1" x14ac:dyDescent="0.2">
      <c r="A306" s="3" t="s">
        <v>376</v>
      </c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3.5" hidden="1" customHeight="1" x14ac:dyDescent="0.2">
      <c r="A307" s="3" t="s">
        <v>261</v>
      </c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3.5" hidden="1" customHeight="1" x14ac:dyDescent="0.2">
      <c r="A308" s="3" t="s">
        <v>295</v>
      </c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3.5" customHeight="1" x14ac:dyDescent="0.2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3.5" hidden="1" customHeight="1" x14ac:dyDescent="0.2">
      <c r="A310" s="122">
        <v>0.01</v>
      </c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3.5" hidden="1" customHeight="1" x14ac:dyDescent="0.2">
      <c r="A311" s="122">
        <v>0.02</v>
      </c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5" hidden="1" customHeight="1" x14ac:dyDescent="0.2">
      <c r="A312" s="122">
        <v>0.03</v>
      </c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5" hidden="1" customHeight="1" x14ac:dyDescent="0.2">
      <c r="A313" s="122">
        <v>0.04</v>
      </c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5" hidden="1" customHeight="1" x14ac:dyDescent="0.2">
      <c r="A314" s="122">
        <v>0.05</v>
      </c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5" hidden="1" customHeight="1" x14ac:dyDescent="0.2">
      <c r="A315" s="122">
        <v>0.06</v>
      </c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5" hidden="1" customHeight="1" x14ac:dyDescent="0.2">
      <c r="A316" s="122">
        <v>7.0000000000000007E-2</v>
      </c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5" hidden="1" customHeight="1" x14ac:dyDescent="0.2">
      <c r="A317" s="122">
        <v>0.08</v>
      </c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5" hidden="1" customHeight="1" x14ac:dyDescent="0.2">
      <c r="A318" s="122">
        <v>0.09</v>
      </c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5" hidden="1" customHeight="1" x14ac:dyDescent="0.2">
      <c r="A319" s="122">
        <v>0.1</v>
      </c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5" hidden="1" customHeight="1" x14ac:dyDescent="0.2">
      <c r="A320" s="122" t="s">
        <v>296</v>
      </c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5" hidden="1" customHeight="1" x14ac:dyDescent="0.2">
      <c r="A321" s="3" t="s">
        <v>297</v>
      </c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5" hidden="1" customHeight="1" x14ac:dyDescent="0.2">
      <c r="A322" s="3" t="s">
        <v>298</v>
      </c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5" hidden="1" customHeight="1" x14ac:dyDescent="0.2">
      <c r="A323" s="3" t="s">
        <v>299</v>
      </c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5" hidden="1" customHeight="1" x14ac:dyDescent="0.2">
      <c r="A324" s="3" t="s">
        <v>300</v>
      </c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5" hidden="1" customHeight="1" x14ac:dyDescent="0.2">
      <c r="A325" s="3" t="s">
        <v>301</v>
      </c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5" hidden="1" customHeight="1" x14ac:dyDescent="0.2">
      <c r="A326" s="3" t="s">
        <v>302</v>
      </c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5" hidden="1" customHeight="1" x14ac:dyDescent="0.2">
      <c r="A327" s="3" t="s">
        <v>303</v>
      </c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5" hidden="1" customHeight="1" x14ac:dyDescent="0.2">
      <c r="A328" s="3" t="s">
        <v>304</v>
      </c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5" hidden="1" customHeight="1" x14ac:dyDescent="0.2">
      <c r="A329" s="3" t="s">
        <v>305</v>
      </c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5" hidden="1" customHeight="1" x14ac:dyDescent="0.2">
      <c r="A330" s="3" t="s">
        <v>306</v>
      </c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5" hidden="1" customHeight="1" x14ac:dyDescent="0.2">
      <c r="A331" s="3" t="s">
        <v>307</v>
      </c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5" hidden="1" customHeight="1" x14ac:dyDescent="0.2">
      <c r="A332" s="3" t="s">
        <v>308</v>
      </c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5" hidden="1" customHeight="1" x14ac:dyDescent="0.2">
      <c r="A333" s="3" t="s">
        <v>309</v>
      </c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5" hidden="1" customHeight="1" x14ac:dyDescent="0.2">
      <c r="A334" s="3" t="s">
        <v>310</v>
      </c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5" hidden="1" customHeight="1" x14ac:dyDescent="0.2">
      <c r="A335" s="3" t="s">
        <v>311</v>
      </c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5" hidden="1" customHeight="1" x14ac:dyDescent="0.2">
      <c r="A336" s="3" t="s">
        <v>312</v>
      </c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5" hidden="1" customHeight="1" x14ac:dyDescent="0.2">
      <c r="A337" s="3" t="s">
        <v>313</v>
      </c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5" hidden="1" customHeight="1" x14ac:dyDescent="0.2">
      <c r="A338" s="3" t="s">
        <v>314</v>
      </c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5" hidden="1" customHeight="1" x14ac:dyDescent="0.2">
      <c r="A339" s="3" t="s">
        <v>315</v>
      </c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5" hidden="1" customHeight="1" x14ac:dyDescent="0.2">
      <c r="A340" s="3" t="s">
        <v>316</v>
      </c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5" hidden="1" customHeight="1" x14ac:dyDescent="0.2">
      <c r="A341" s="3" t="s">
        <v>317</v>
      </c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5" hidden="1" customHeight="1" x14ac:dyDescent="0.2">
      <c r="A342" s="3" t="s">
        <v>318</v>
      </c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5" hidden="1" customHeight="1" x14ac:dyDescent="0.2">
      <c r="A343" s="3" t="s">
        <v>319</v>
      </c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5" hidden="1" customHeight="1" x14ac:dyDescent="0.2">
      <c r="A344" s="3" t="s">
        <v>320</v>
      </c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5" hidden="1" customHeight="1" x14ac:dyDescent="0.2">
      <c r="A345" s="3" t="s">
        <v>321</v>
      </c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5" hidden="1" customHeight="1" x14ac:dyDescent="0.2">
      <c r="A346" s="3" t="s">
        <v>322</v>
      </c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5" hidden="1" customHeight="1" x14ac:dyDescent="0.2">
      <c r="A347" s="3" t="s">
        <v>323</v>
      </c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5" hidden="1" customHeight="1" x14ac:dyDescent="0.2">
      <c r="A348" s="3" t="s">
        <v>324</v>
      </c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5" hidden="1" customHeight="1" x14ac:dyDescent="0.2">
      <c r="A349" s="3" t="s">
        <v>325</v>
      </c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5" hidden="1" customHeight="1" x14ac:dyDescent="0.2">
      <c r="A350" s="3" t="s">
        <v>326</v>
      </c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5" hidden="1" customHeight="1" x14ac:dyDescent="0.2">
      <c r="A351" s="3" t="s">
        <v>327</v>
      </c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5" hidden="1" customHeight="1" x14ac:dyDescent="0.2">
      <c r="A352" s="3" t="s">
        <v>328</v>
      </c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5" hidden="1" customHeight="1" x14ac:dyDescent="0.2">
      <c r="A353" s="3" t="s">
        <v>329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5" hidden="1" customHeight="1" x14ac:dyDescent="0.2">
      <c r="A354" s="3" t="s">
        <v>330</v>
      </c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5" hidden="1" customHeight="1" x14ac:dyDescent="0.2">
      <c r="A355" s="3" t="s">
        <v>331</v>
      </c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5" hidden="1" customHeight="1" x14ac:dyDescent="0.2">
      <c r="A356" s="3" t="s">
        <v>332</v>
      </c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5" hidden="1" customHeight="1" x14ac:dyDescent="0.2">
      <c r="A357" s="3" t="s">
        <v>333</v>
      </c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5" hidden="1" customHeight="1" x14ac:dyDescent="0.2">
      <c r="A358" s="3" t="s">
        <v>334</v>
      </c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5" hidden="1" customHeight="1" x14ac:dyDescent="0.2">
      <c r="A359" s="3" t="s">
        <v>335</v>
      </c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5" hidden="1" customHeight="1" x14ac:dyDescent="0.2">
      <c r="A360" s="3" t="s">
        <v>336</v>
      </c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5" hidden="1" customHeight="1" x14ac:dyDescent="0.2">
      <c r="A361" s="3" t="s">
        <v>337</v>
      </c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5" hidden="1" customHeight="1" x14ac:dyDescent="0.2">
      <c r="A362" s="3" t="s">
        <v>338</v>
      </c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5" hidden="1" customHeight="1" x14ac:dyDescent="0.2">
      <c r="A363" s="3" t="s">
        <v>339</v>
      </c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5" hidden="1" customHeight="1" x14ac:dyDescent="0.2">
      <c r="A364" s="3" t="s">
        <v>340</v>
      </c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5" hidden="1" customHeight="1" x14ac:dyDescent="0.2">
      <c r="A365" s="3" t="s">
        <v>341</v>
      </c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5" hidden="1" customHeight="1" x14ac:dyDescent="0.2">
      <c r="A366" s="3" t="s">
        <v>342</v>
      </c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5" hidden="1" customHeight="1" x14ac:dyDescent="0.2">
      <c r="A367" s="3" t="s">
        <v>343</v>
      </c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5" hidden="1" customHeight="1" x14ac:dyDescent="0.2">
      <c r="A368" s="3" t="s">
        <v>344</v>
      </c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5" hidden="1" customHeight="1" x14ac:dyDescent="0.2">
      <c r="A369" s="3" t="s">
        <v>345</v>
      </c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5" hidden="1" customHeight="1" x14ac:dyDescent="0.2">
      <c r="A370" s="3" t="s">
        <v>346</v>
      </c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5" hidden="1" customHeight="1" x14ac:dyDescent="0.2">
      <c r="A371" s="3" t="s">
        <v>347</v>
      </c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5" hidden="1" customHeight="1" x14ac:dyDescent="0.2">
      <c r="A372" s="3" t="s">
        <v>348</v>
      </c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5" hidden="1" customHeight="1" x14ac:dyDescent="0.2">
      <c r="A373" s="3" t="s">
        <v>349</v>
      </c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5" hidden="1" customHeight="1" x14ac:dyDescent="0.2">
      <c r="A374" s="3" t="s">
        <v>350</v>
      </c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5" hidden="1" customHeight="1" x14ac:dyDescent="0.2">
      <c r="A375" s="3" t="s">
        <v>351</v>
      </c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5" hidden="1" customHeight="1" x14ac:dyDescent="0.2">
      <c r="A376" s="3" t="s">
        <v>352</v>
      </c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5" hidden="1" customHeight="1" x14ac:dyDescent="0.2">
      <c r="A377" s="3" t="s">
        <v>351</v>
      </c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5" hidden="1" customHeight="1" x14ac:dyDescent="0.2">
      <c r="A378" s="3" t="s">
        <v>352</v>
      </c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5" hidden="1" customHeight="1" x14ac:dyDescent="0.2">
      <c r="A379" s="3" t="s">
        <v>351</v>
      </c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5" hidden="1" customHeight="1" x14ac:dyDescent="0.2">
      <c r="A380" s="3" t="s">
        <v>352</v>
      </c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5" hidden="1" customHeight="1" x14ac:dyDescent="0.2">
      <c r="A381" s="3" t="s">
        <v>351</v>
      </c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5" hidden="1" customHeight="1" x14ac:dyDescent="0.2">
      <c r="A382" s="3" t="s">
        <v>352</v>
      </c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5" hidden="1" customHeight="1" x14ac:dyDescent="0.2">
      <c r="A383" s="120" t="s">
        <v>353</v>
      </c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5" hidden="1" customHeight="1" x14ac:dyDescent="0.2">
      <c r="A384" s="120" t="s">
        <v>354</v>
      </c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5" hidden="1" customHeight="1" x14ac:dyDescent="0.2">
      <c r="A385" s="120" t="s">
        <v>355</v>
      </c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5" hidden="1" customHeight="1" x14ac:dyDescent="0.2">
      <c r="A386" s="120" t="s">
        <v>356</v>
      </c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5" hidden="1" customHeight="1" x14ac:dyDescent="0.2">
      <c r="A387" s="120" t="s">
        <v>357</v>
      </c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5" hidden="1" customHeight="1" x14ac:dyDescent="0.2">
      <c r="A388" s="120" t="s">
        <v>358</v>
      </c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5" hidden="1" customHeight="1" x14ac:dyDescent="0.2">
      <c r="A389" s="120" t="s">
        <v>359</v>
      </c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5" hidden="1" customHeight="1" x14ac:dyDescent="0.2">
      <c r="A390" s="120" t="s">
        <v>360</v>
      </c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5" hidden="1" customHeight="1" x14ac:dyDescent="0.2">
      <c r="A391" s="120" t="s">
        <v>361</v>
      </c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5" hidden="1" customHeight="1" x14ac:dyDescent="0.2">
      <c r="A392" s="120" t="s">
        <v>362</v>
      </c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5" hidden="1" customHeight="1" x14ac:dyDescent="0.2">
      <c r="A393" s="3" t="s">
        <v>170</v>
      </c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5" hidden="1" customHeight="1" x14ac:dyDescent="0.2">
      <c r="A394" s="3" t="s">
        <v>171</v>
      </c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5" hidden="1" customHeight="1" x14ac:dyDescent="0.2">
      <c r="A395" s="3" t="s">
        <v>363</v>
      </c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5" hidden="1" customHeight="1" x14ac:dyDescent="0.2">
      <c r="A396" s="3" t="s">
        <v>364</v>
      </c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5" hidden="1" customHeight="1" x14ac:dyDescent="0.2">
      <c r="A397" s="3" t="s">
        <v>365</v>
      </c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5" hidden="1" customHeight="1" x14ac:dyDescent="0.2">
      <c r="A398" s="3" t="s">
        <v>264</v>
      </c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5" hidden="1" customHeight="1" x14ac:dyDescent="0.2">
      <c r="A399" s="3" t="s">
        <v>170</v>
      </c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5" hidden="1" customHeight="1" x14ac:dyDescent="0.2">
      <c r="A400" s="3" t="s">
        <v>171</v>
      </c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5" hidden="1" customHeight="1" x14ac:dyDescent="0.2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5" hidden="1" customHeight="1" x14ac:dyDescent="0.2">
      <c r="A402" s="3" t="s">
        <v>261</v>
      </c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5" hidden="1" customHeight="1" x14ac:dyDescent="0.2">
      <c r="A403" s="3" t="s">
        <v>295</v>
      </c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5" hidden="1" customHeight="1" x14ac:dyDescent="0.2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5" hidden="1" customHeight="1" x14ac:dyDescent="0.2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5" hidden="1" customHeight="1" x14ac:dyDescent="0.2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5" hidden="1" customHeight="1" x14ac:dyDescent="0.2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5" hidden="1" customHeight="1" x14ac:dyDescent="0.2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5" hidden="1" customHeight="1" x14ac:dyDescent="0.2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5" hidden="1" customHeight="1" x14ac:dyDescent="0.2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5" hidden="1" customHeight="1" x14ac:dyDescent="0.2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5" customHeight="1" x14ac:dyDescent="0.2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5" customHeight="1" x14ac:dyDescent="0.2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5" customHeight="1" x14ac:dyDescent="0.2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5" customHeight="1" x14ac:dyDescent="0.2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5" customHeight="1" x14ac:dyDescent="0.2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5" customHeight="1" x14ac:dyDescent="0.2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5" customHeight="1" x14ac:dyDescent="0.2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5" customHeight="1" x14ac:dyDescent="0.2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5" customHeight="1" x14ac:dyDescent="0.2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5" customHeight="1" x14ac:dyDescent="0.2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5" customHeight="1" x14ac:dyDescent="0.2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5" customHeight="1" x14ac:dyDescent="0.2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5" customHeight="1" x14ac:dyDescent="0.2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5" customHeight="1" x14ac:dyDescent="0.2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5" customHeight="1" x14ac:dyDescent="0.2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5" customHeight="1" x14ac:dyDescent="0.2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5" customHeight="1" x14ac:dyDescent="0.2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5" customHeight="1" x14ac:dyDescent="0.2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5" customHeight="1" x14ac:dyDescent="0.2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5" customHeight="1" x14ac:dyDescent="0.2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5" customHeight="1" x14ac:dyDescent="0.2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5" customHeight="1" x14ac:dyDescent="0.2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5" customHeight="1" x14ac:dyDescent="0.2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5" customHeight="1" x14ac:dyDescent="0.2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5" customHeight="1" x14ac:dyDescent="0.2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5" customHeight="1" x14ac:dyDescent="0.2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5.75" customHeight="1" x14ac:dyDescent="0.2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5.75" customHeight="1" x14ac:dyDescent="0.2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5.75" customHeight="1" x14ac:dyDescent="0.2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5.75" customHeight="1" x14ac:dyDescent="0.2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5.75" customHeight="1" x14ac:dyDescent="0.2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5.75" customHeight="1" x14ac:dyDescent="0.2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5.75" customHeight="1" x14ac:dyDescent="0.2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5.75" customHeight="1" x14ac:dyDescent="0.2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5.75" customHeight="1" x14ac:dyDescent="0.2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5.75" customHeight="1" x14ac:dyDescent="0.2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5.75" customHeight="1" x14ac:dyDescent="0.2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5.75" customHeight="1" x14ac:dyDescent="0.2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5.75" customHeight="1" x14ac:dyDescent="0.2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5.75" customHeight="1" x14ac:dyDescent="0.2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5.75" customHeight="1" x14ac:dyDescent="0.2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5.75" customHeight="1" x14ac:dyDescent="0.2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5.75" customHeight="1" x14ac:dyDescent="0.2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5.75" customHeight="1" x14ac:dyDescent="0.2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5.75" customHeight="1" x14ac:dyDescent="0.2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5.75" customHeight="1" x14ac:dyDescent="0.2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5.75" customHeight="1" x14ac:dyDescent="0.2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5.75" customHeight="1" x14ac:dyDescent="0.2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5.75" customHeight="1" x14ac:dyDescent="0.2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5.75" customHeight="1" x14ac:dyDescent="0.2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5.75" customHeight="1" x14ac:dyDescent="0.2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5.75" customHeight="1" x14ac:dyDescent="0.2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5.75" customHeight="1" x14ac:dyDescent="0.2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5.75" customHeight="1" x14ac:dyDescent="0.2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5.75" customHeight="1" x14ac:dyDescent="0.2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5.75" customHeight="1" x14ac:dyDescent="0.2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5.75" customHeight="1" x14ac:dyDescent="0.2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5.75" customHeight="1" x14ac:dyDescent="0.2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5.75" customHeight="1" x14ac:dyDescent="0.2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5.75" customHeight="1" x14ac:dyDescent="0.2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5.75" customHeight="1" x14ac:dyDescent="0.2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5.75" customHeight="1" x14ac:dyDescent="0.2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5.75" customHeight="1" x14ac:dyDescent="0.2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5.75" customHeight="1" x14ac:dyDescent="0.2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5.75" customHeight="1" x14ac:dyDescent="0.2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5.75" customHeight="1" x14ac:dyDescent="0.2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5.75" customHeight="1" x14ac:dyDescent="0.2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5.75" customHeight="1" x14ac:dyDescent="0.2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5.75" customHeight="1" x14ac:dyDescent="0.2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5.75" customHeight="1" x14ac:dyDescent="0.2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5.75" customHeight="1" x14ac:dyDescent="0.2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5.75" customHeight="1" x14ac:dyDescent="0.2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5.75" customHeight="1" x14ac:dyDescent="0.2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5.75" customHeight="1" x14ac:dyDescent="0.2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5.75" customHeight="1" x14ac:dyDescent="0.2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5.75" customHeight="1" x14ac:dyDescent="0.2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5.75" customHeight="1" x14ac:dyDescent="0.2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5.75" customHeight="1" x14ac:dyDescent="0.2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5.75" customHeight="1" x14ac:dyDescent="0.2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5.75" customHeight="1" x14ac:dyDescent="0.2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5.75" customHeight="1" x14ac:dyDescent="0.2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5.75" customHeight="1" x14ac:dyDescent="0.2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5.75" customHeight="1" x14ac:dyDescent="0.2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5.75" customHeight="1" x14ac:dyDescent="0.2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5.75" customHeight="1" x14ac:dyDescent="0.2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5.75" customHeight="1" x14ac:dyDescent="0.2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5.75" customHeight="1" x14ac:dyDescent="0.2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5.75" customHeight="1" x14ac:dyDescent="0.2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5.75" customHeight="1" x14ac:dyDescent="0.2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5.75" customHeight="1" x14ac:dyDescent="0.2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5.75" customHeight="1" x14ac:dyDescent="0.2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5.75" customHeight="1" x14ac:dyDescent="0.2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5.75" customHeight="1" x14ac:dyDescent="0.2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5.75" customHeight="1" x14ac:dyDescent="0.2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5.75" customHeight="1" x14ac:dyDescent="0.2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5.75" customHeight="1" x14ac:dyDescent="0.2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5.75" customHeight="1" x14ac:dyDescent="0.2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5.75" customHeight="1" x14ac:dyDescent="0.2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5.75" customHeight="1" x14ac:dyDescent="0.2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5.75" customHeight="1" x14ac:dyDescent="0.2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5.75" customHeight="1" x14ac:dyDescent="0.2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5.75" customHeight="1" x14ac:dyDescent="0.2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5.75" customHeight="1" x14ac:dyDescent="0.2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5.75" customHeight="1" x14ac:dyDescent="0.2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5.75" customHeight="1" x14ac:dyDescent="0.2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5.75" customHeight="1" x14ac:dyDescent="0.2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5.75" customHeight="1" x14ac:dyDescent="0.2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5.75" customHeight="1" x14ac:dyDescent="0.2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5.75" customHeight="1" x14ac:dyDescent="0.2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5.75" customHeight="1" x14ac:dyDescent="0.2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5.75" customHeight="1" x14ac:dyDescent="0.2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5.75" customHeight="1" x14ac:dyDescent="0.2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5.75" customHeight="1" x14ac:dyDescent="0.2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5.75" customHeight="1" x14ac:dyDescent="0.2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5.75" customHeight="1" x14ac:dyDescent="0.2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5.75" customHeight="1" x14ac:dyDescent="0.2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5.75" customHeight="1" x14ac:dyDescent="0.2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5.75" customHeight="1" x14ac:dyDescent="0.2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5.75" customHeight="1" x14ac:dyDescent="0.2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5.75" customHeight="1" x14ac:dyDescent="0.2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5.75" customHeight="1" x14ac:dyDescent="0.2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5.75" customHeight="1" x14ac:dyDescent="0.2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5.75" customHeight="1" x14ac:dyDescent="0.2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5.75" customHeight="1" x14ac:dyDescent="0.2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5.75" customHeight="1" x14ac:dyDescent="0.2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5.75" customHeight="1" x14ac:dyDescent="0.2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5.75" customHeight="1" x14ac:dyDescent="0.2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5.75" customHeight="1" x14ac:dyDescent="0.2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5.75" customHeight="1" x14ac:dyDescent="0.2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5.75" customHeight="1" x14ac:dyDescent="0.2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5.75" customHeight="1" x14ac:dyDescent="0.2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5.75" customHeight="1" x14ac:dyDescent="0.2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5.75" customHeight="1" x14ac:dyDescent="0.2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5.75" customHeight="1" x14ac:dyDescent="0.2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5.75" customHeight="1" x14ac:dyDescent="0.2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5.75" customHeight="1" x14ac:dyDescent="0.2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5.75" customHeight="1" x14ac:dyDescent="0.2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5.75" customHeight="1" x14ac:dyDescent="0.2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5.75" customHeight="1" x14ac:dyDescent="0.2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5.75" customHeight="1" x14ac:dyDescent="0.2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5.75" customHeight="1" x14ac:dyDescent="0.2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5.75" customHeight="1" x14ac:dyDescent="0.2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5.75" customHeight="1" x14ac:dyDescent="0.2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5.75" customHeight="1" x14ac:dyDescent="0.2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5.75" customHeight="1" x14ac:dyDescent="0.2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5.75" customHeight="1" x14ac:dyDescent="0.2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5.75" customHeight="1" x14ac:dyDescent="0.2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5.75" customHeight="1" x14ac:dyDescent="0.2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5.75" customHeight="1" x14ac:dyDescent="0.2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5.75" customHeight="1" x14ac:dyDescent="0.2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5.75" customHeight="1" x14ac:dyDescent="0.2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5.75" customHeight="1" x14ac:dyDescent="0.2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5.75" customHeight="1" x14ac:dyDescent="0.2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5.75" customHeight="1" x14ac:dyDescent="0.2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5.75" customHeight="1" x14ac:dyDescent="0.2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5.75" customHeight="1" x14ac:dyDescent="0.2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5.75" customHeight="1" x14ac:dyDescent="0.2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5.75" customHeight="1" x14ac:dyDescent="0.2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5.75" customHeight="1" x14ac:dyDescent="0.2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5.75" customHeight="1" x14ac:dyDescent="0.2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5.75" customHeight="1" x14ac:dyDescent="0.2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5.75" customHeight="1" x14ac:dyDescent="0.2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5.75" customHeight="1" x14ac:dyDescent="0.2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5.75" customHeight="1" x14ac:dyDescent="0.2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5.75" customHeight="1" x14ac:dyDescent="0.2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5.75" customHeight="1" x14ac:dyDescent="0.2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5.75" customHeight="1" x14ac:dyDescent="0.2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5.75" customHeight="1" x14ac:dyDescent="0.2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5.75" customHeight="1" x14ac:dyDescent="0.2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5.75" customHeight="1" x14ac:dyDescent="0.2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5.75" customHeight="1" x14ac:dyDescent="0.2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5.75" customHeight="1" x14ac:dyDescent="0.2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5.75" customHeight="1" x14ac:dyDescent="0.2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5.75" customHeight="1" x14ac:dyDescent="0.2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5.75" customHeight="1" x14ac:dyDescent="0.2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5.75" customHeight="1" x14ac:dyDescent="0.2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5.75" customHeight="1" x14ac:dyDescent="0.2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5.75" customHeight="1" x14ac:dyDescent="0.2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5.75" customHeight="1" x14ac:dyDescent="0.2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5.75" customHeight="1" x14ac:dyDescent="0.2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5.75" customHeight="1" x14ac:dyDescent="0.2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5.75" customHeight="1" x14ac:dyDescent="0.2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5.75" customHeight="1" x14ac:dyDescent="0.2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5.75" customHeight="1" x14ac:dyDescent="0.2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5.75" customHeight="1" x14ac:dyDescent="0.2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5.75" customHeight="1" x14ac:dyDescent="0.2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5.75" customHeight="1" x14ac:dyDescent="0.2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5.75" customHeight="1" x14ac:dyDescent="0.2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5.75" customHeight="1" x14ac:dyDescent="0.2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5.75" customHeight="1" x14ac:dyDescent="0.2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5.75" customHeight="1" x14ac:dyDescent="0.2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5.75" customHeight="1" x14ac:dyDescent="0.2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5.75" customHeight="1" x14ac:dyDescent="0.2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5.75" customHeight="1" x14ac:dyDescent="0.2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5.75" customHeight="1" x14ac:dyDescent="0.2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5.75" customHeight="1" x14ac:dyDescent="0.2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5.75" customHeight="1" x14ac:dyDescent="0.2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5.75" customHeight="1" x14ac:dyDescent="0.2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5.75" customHeight="1" x14ac:dyDescent="0.2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5.75" customHeight="1" x14ac:dyDescent="0.2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5.75" customHeight="1" x14ac:dyDescent="0.2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5.75" customHeight="1" x14ac:dyDescent="0.2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5.75" customHeight="1" x14ac:dyDescent="0.2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5.75" customHeight="1" x14ac:dyDescent="0.2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5.75" customHeight="1" x14ac:dyDescent="0.2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5.75" customHeight="1" x14ac:dyDescent="0.2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5.75" customHeight="1" x14ac:dyDescent="0.2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5.75" customHeight="1" x14ac:dyDescent="0.2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5.75" customHeight="1" x14ac:dyDescent="0.2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5.75" customHeight="1" x14ac:dyDescent="0.2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5.75" customHeight="1" x14ac:dyDescent="0.2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5.75" customHeight="1" x14ac:dyDescent="0.2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5.75" customHeight="1" x14ac:dyDescent="0.2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5.75" customHeight="1" x14ac:dyDescent="0.2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5.75" customHeight="1" x14ac:dyDescent="0.2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5.75" customHeight="1" x14ac:dyDescent="0.2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5.75" customHeight="1" x14ac:dyDescent="0.2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5.75" customHeight="1" x14ac:dyDescent="0.2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5.75" customHeight="1" x14ac:dyDescent="0.2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5.75" customHeight="1" x14ac:dyDescent="0.2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5.75" customHeight="1" x14ac:dyDescent="0.2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5.75" customHeight="1" x14ac:dyDescent="0.2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5.75" customHeight="1" x14ac:dyDescent="0.2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5.75" customHeight="1" x14ac:dyDescent="0.2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5.75" customHeight="1" x14ac:dyDescent="0.2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5.75" customHeight="1" x14ac:dyDescent="0.2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5.75" customHeight="1" x14ac:dyDescent="0.2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5.75" customHeight="1" x14ac:dyDescent="0.2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5.75" customHeight="1" x14ac:dyDescent="0.2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5.75" customHeight="1" x14ac:dyDescent="0.2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5.75" customHeight="1" x14ac:dyDescent="0.2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5.75" customHeight="1" x14ac:dyDescent="0.2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5.75" customHeight="1" x14ac:dyDescent="0.2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5.75" customHeight="1" x14ac:dyDescent="0.2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5.75" customHeight="1" x14ac:dyDescent="0.2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5.75" customHeight="1" x14ac:dyDescent="0.2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5.75" customHeight="1" x14ac:dyDescent="0.2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5.75" customHeight="1" x14ac:dyDescent="0.2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5.75" customHeight="1" x14ac:dyDescent="0.2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5.75" customHeight="1" x14ac:dyDescent="0.2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5.75" customHeight="1" x14ac:dyDescent="0.2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5.75" customHeight="1" x14ac:dyDescent="0.2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5.75" customHeight="1" x14ac:dyDescent="0.2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5.75" customHeight="1" x14ac:dyDescent="0.2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5.75" customHeight="1" x14ac:dyDescent="0.2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5.75" customHeight="1" x14ac:dyDescent="0.2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5.75" customHeight="1" x14ac:dyDescent="0.2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5.75" customHeight="1" x14ac:dyDescent="0.2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5.75" customHeight="1" x14ac:dyDescent="0.2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5.75" customHeight="1" x14ac:dyDescent="0.2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5.75" customHeight="1" x14ac:dyDescent="0.2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5.75" customHeight="1" x14ac:dyDescent="0.2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5.75" customHeight="1" x14ac:dyDescent="0.2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5.75" customHeight="1" x14ac:dyDescent="0.2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5.75" customHeight="1" x14ac:dyDescent="0.2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5.75" customHeight="1" x14ac:dyDescent="0.2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5.75" customHeight="1" x14ac:dyDescent="0.2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5.75" customHeight="1" x14ac:dyDescent="0.2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5.75" customHeight="1" x14ac:dyDescent="0.2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5.75" customHeight="1" x14ac:dyDescent="0.2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5.75" customHeight="1" x14ac:dyDescent="0.2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5.75" customHeight="1" x14ac:dyDescent="0.2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5.75" customHeight="1" x14ac:dyDescent="0.2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5.75" customHeight="1" x14ac:dyDescent="0.2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5.75" customHeight="1" x14ac:dyDescent="0.2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5.75" customHeight="1" x14ac:dyDescent="0.2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5.75" customHeight="1" x14ac:dyDescent="0.2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5.75" customHeight="1" x14ac:dyDescent="0.2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5.75" customHeight="1" x14ac:dyDescent="0.2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5.75" customHeight="1" x14ac:dyDescent="0.2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5.75" customHeight="1" x14ac:dyDescent="0.2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5.75" customHeight="1" x14ac:dyDescent="0.2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5.75" customHeight="1" x14ac:dyDescent="0.2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5.75" customHeight="1" x14ac:dyDescent="0.2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5.75" customHeight="1" x14ac:dyDescent="0.2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5.75" customHeight="1" x14ac:dyDescent="0.2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5.75" customHeight="1" x14ac:dyDescent="0.2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5.75" customHeight="1" x14ac:dyDescent="0.2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5.75" customHeight="1" x14ac:dyDescent="0.2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5.75" customHeight="1" x14ac:dyDescent="0.2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5.75" customHeight="1" x14ac:dyDescent="0.2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5.75" customHeight="1" x14ac:dyDescent="0.2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5.75" customHeight="1" x14ac:dyDescent="0.2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5.75" customHeight="1" x14ac:dyDescent="0.2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5.75" customHeight="1" x14ac:dyDescent="0.2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5.75" customHeight="1" x14ac:dyDescent="0.2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5.75" customHeight="1" x14ac:dyDescent="0.2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5.75" customHeight="1" x14ac:dyDescent="0.2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5.75" customHeight="1" x14ac:dyDescent="0.2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5.75" customHeight="1" x14ac:dyDescent="0.2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5.75" customHeight="1" x14ac:dyDescent="0.2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5.75" customHeight="1" x14ac:dyDescent="0.2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5.75" customHeight="1" x14ac:dyDescent="0.2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5.75" customHeight="1" x14ac:dyDescent="0.2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5.75" customHeight="1" x14ac:dyDescent="0.2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5.75" customHeight="1" x14ac:dyDescent="0.2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5.75" customHeight="1" x14ac:dyDescent="0.2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5.75" customHeight="1" x14ac:dyDescent="0.2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5.75" customHeight="1" x14ac:dyDescent="0.2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5.75" customHeight="1" x14ac:dyDescent="0.2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5.75" customHeight="1" x14ac:dyDescent="0.2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5.75" customHeight="1" x14ac:dyDescent="0.2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5.75" customHeight="1" x14ac:dyDescent="0.2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5.75" customHeight="1" x14ac:dyDescent="0.2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5.75" customHeight="1" x14ac:dyDescent="0.2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5.75" customHeight="1" x14ac:dyDescent="0.2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5.75" customHeight="1" x14ac:dyDescent="0.2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5.75" customHeight="1" x14ac:dyDescent="0.2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5.75" customHeight="1" x14ac:dyDescent="0.2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5.75" customHeight="1" x14ac:dyDescent="0.2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5.75" customHeight="1" x14ac:dyDescent="0.2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5.75" customHeight="1" x14ac:dyDescent="0.2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5.75" customHeight="1" x14ac:dyDescent="0.2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5.75" customHeight="1" x14ac:dyDescent="0.2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5.75" customHeight="1" x14ac:dyDescent="0.2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5.75" customHeight="1" x14ac:dyDescent="0.2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5.75" customHeight="1" x14ac:dyDescent="0.2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5.75" customHeight="1" x14ac:dyDescent="0.2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5.75" customHeight="1" x14ac:dyDescent="0.2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5.75" customHeight="1" x14ac:dyDescent="0.2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5.75" customHeight="1" x14ac:dyDescent="0.2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5.75" customHeight="1" x14ac:dyDescent="0.2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5.75" customHeight="1" x14ac:dyDescent="0.2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5.75" customHeight="1" x14ac:dyDescent="0.2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5.75" customHeight="1" x14ac:dyDescent="0.2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5.75" customHeight="1" x14ac:dyDescent="0.2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5.75" customHeight="1" x14ac:dyDescent="0.2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5.75" customHeight="1" x14ac:dyDescent="0.2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5.75" customHeight="1" x14ac:dyDescent="0.2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5.75" customHeight="1" x14ac:dyDescent="0.2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5.75" customHeight="1" x14ac:dyDescent="0.2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5.75" customHeight="1" x14ac:dyDescent="0.2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5.75" customHeight="1" x14ac:dyDescent="0.2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5.75" customHeight="1" x14ac:dyDescent="0.2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5.75" customHeight="1" x14ac:dyDescent="0.2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5.75" customHeight="1" x14ac:dyDescent="0.2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5.75" customHeight="1" x14ac:dyDescent="0.2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5.75" customHeight="1" x14ac:dyDescent="0.2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5.75" customHeight="1" x14ac:dyDescent="0.2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5.75" customHeight="1" x14ac:dyDescent="0.2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5.75" customHeight="1" x14ac:dyDescent="0.2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5.75" customHeight="1" x14ac:dyDescent="0.2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5.75" customHeight="1" x14ac:dyDescent="0.2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5.75" customHeight="1" x14ac:dyDescent="0.2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5.75" customHeight="1" x14ac:dyDescent="0.2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5.75" customHeight="1" x14ac:dyDescent="0.2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5.75" customHeight="1" x14ac:dyDescent="0.2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5.75" customHeight="1" x14ac:dyDescent="0.2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5.75" customHeight="1" x14ac:dyDescent="0.2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5.75" customHeight="1" x14ac:dyDescent="0.2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5.75" customHeight="1" x14ac:dyDescent="0.2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5.75" customHeight="1" x14ac:dyDescent="0.2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5.75" customHeight="1" x14ac:dyDescent="0.2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5.75" customHeight="1" x14ac:dyDescent="0.2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5.75" customHeight="1" x14ac:dyDescent="0.2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5.75" customHeight="1" x14ac:dyDescent="0.2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5.75" customHeight="1" x14ac:dyDescent="0.2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5.75" customHeight="1" x14ac:dyDescent="0.2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5.75" customHeight="1" x14ac:dyDescent="0.2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5.75" customHeight="1" x14ac:dyDescent="0.2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5.75" customHeight="1" x14ac:dyDescent="0.2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5.75" customHeight="1" x14ac:dyDescent="0.2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5.75" customHeight="1" x14ac:dyDescent="0.2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5.75" customHeight="1" x14ac:dyDescent="0.2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5.75" customHeight="1" x14ac:dyDescent="0.2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5.75" customHeight="1" x14ac:dyDescent="0.2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5.75" customHeight="1" x14ac:dyDescent="0.2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5.75" customHeight="1" x14ac:dyDescent="0.2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5.75" customHeight="1" x14ac:dyDescent="0.2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5.75" customHeight="1" x14ac:dyDescent="0.2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5.75" customHeight="1" x14ac:dyDescent="0.2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5.75" customHeight="1" x14ac:dyDescent="0.2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5.75" customHeight="1" x14ac:dyDescent="0.2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5.75" customHeight="1" x14ac:dyDescent="0.2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5.75" customHeight="1" x14ac:dyDescent="0.2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5.75" customHeight="1" x14ac:dyDescent="0.2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5.75" customHeight="1" x14ac:dyDescent="0.2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5.75" customHeight="1" x14ac:dyDescent="0.2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5.75" customHeight="1" x14ac:dyDescent="0.2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5.75" customHeight="1" x14ac:dyDescent="0.2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5.75" customHeight="1" x14ac:dyDescent="0.2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5.75" customHeight="1" x14ac:dyDescent="0.2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5.75" customHeight="1" x14ac:dyDescent="0.2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5.75" customHeight="1" x14ac:dyDescent="0.2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5.75" customHeight="1" x14ac:dyDescent="0.2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5.75" customHeight="1" x14ac:dyDescent="0.2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5.75" customHeight="1" x14ac:dyDescent="0.2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5.75" customHeight="1" x14ac:dyDescent="0.2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5.75" customHeight="1" x14ac:dyDescent="0.2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5.75" customHeight="1" x14ac:dyDescent="0.2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5.75" customHeight="1" x14ac:dyDescent="0.2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5.75" customHeight="1" x14ac:dyDescent="0.2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5.75" customHeight="1" x14ac:dyDescent="0.2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5.75" customHeight="1" x14ac:dyDescent="0.2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5.75" customHeight="1" x14ac:dyDescent="0.2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5.75" customHeight="1" x14ac:dyDescent="0.2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5.75" customHeight="1" x14ac:dyDescent="0.2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5.75" customHeight="1" x14ac:dyDescent="0.2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5.75" customHeight="1" x14ac:dyDescent="0.2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5.75" customHeight="1" x14ac:dyDescent="0.2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5.75" customHeight="1" x14ac:dyDescent="0.2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5.75" customHeight="1" x14ac:dyDescent="0.2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5.75" customHeight="1" x14ac:dyDescent="0.2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5.75" customHeight="1" x14ac:dyDescent="0.2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5.75" customHeight="1" x14ac:dyDescent="0.2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5.75" customHeight="1" x14ac:dyDescent="0.2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5.75" customHeight="1" x14ac:dyDescent="0.2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5.75" customHeight="1" x14ac:dyDescent="0.2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5.75" customHeight="1" x14ac:dyDescent="0.2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5.75" customHeight="1" x14ac:dyDescent="0.2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5.75" customHeight="1" x14ac:dyDescent="0.2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5.75" customHeight="1" x14ac:dyDescent="0.2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5.75" customHeight="1" x14ac:dyDescent="0.2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5.75" customHeight="1" x14ac:dyDescent="0.2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5.75" customHeight="1" x14ac:dyDescent="0.2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5.75" customHeight="1" x14ac:dyDescent="0.2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5.75" customHeight="1" x14ac:dyDescent="0.2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5.75" customHeight="1" x14ac:dyDescent="0.2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5.75" customHeight="1" x14ac:dyDescent="0.2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5.75" customHeight="1" x14ac:dyDescent="0.2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5.75" customHeight="1" x14ac:dyDescent="0.2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5.75" customHeight="1" x14ac:dyDescent="0.2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5.75" customHeight="1" x14ac:dyDescent="0.2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5.75" customHeight="1" x14ac:dyDescent="0.2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5.75" customHeight="1" x14ac:dyDescent="0.2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5.75" customHeight="1" x14ac:dyDescent="0.2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5.75" customHeight="1" x14ac:dyDescent="0.2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5.75" customHeight="1" x14ac:dyDescent="0.2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5.75" customHeight="1" x14ac:dyDescent="0.2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5.75" customHeight="1" x14ac:dyDescent="0.2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5.75" customHeight="1" x14ac:dyDescent="0.2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5.75" customHeight="1" x14ac:dyDescent="0.2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5.75" customHeight="1" x14ac:dyDescent="0.2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5.75" customHeight="1" x14ac:dyDescent="0.2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5.75" customHeight="1" x14ac:dyDescent="0.2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5.75" customHeight="1" x14ac:dyDescent="0.2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5.75" customHeight="1" x14ac:dyDescent="0.2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5.75" customHeight="1" x14ac:dyDescent="0.2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5.75" customHeight="1" x14ac:dyDescent="0.2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5.75" customHeight="1" x14ac:dyDescent="0.2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5.75" customHeight="1" x14ac:dyDescent="0.2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5.75" customHeight="1" x14ac:dyDescent="0.2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5.75" customHeight="1" x14ac:dyDescent="0.2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5.75" customHeight="1" x14ac:dyDescent="0.2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5.75" customHeight="1" x14ac:dyDescent="0.2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5.75" customHeight="1" x14ac:dyDescent="0.2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5.75" customHeight="1" x14ac:dyDescent="0.2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5.75" customHeight="1" x14ac:dyDescent="0.2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5.75" customHeight="1" x14ac:dyDescent="0.2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5.75" customHeight="1" x14ac:dyDescent="0.2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5.75" customHeight="1" x14ac:dyDescent="0.2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5.75" customHeight="1" x14ac:dyDescent="0.2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5.75" customHeight="1" x14ac:dyDescent="0.2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5.75" customHeight="1" x14ac:dyDescent="0.2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5.75" customHeight="1" x14ac:dyDescent="0.2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5.75" customHeight="1" x14ac:dyDescent="0.2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5.75" customHeight="1" x14ac:dyDescent="0.2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5.75" customHeight="1" x14ac:dyDescent="0.2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5.75" customHeight="1" x14ac:dyDescent="0.2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5.75" customHeight="1" x14ac:dyDescent="0.2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5.75" customHeight="1" x14ac:dyDescent="0.2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5.75" customHeight="1" x14ac:dyDescent="0.2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5.75" customHeight="1" x14ac:dyDescent="0.2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5.75" customHeight="1" x14ac:dyDescent="0.2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5.75" customHeight="1" x14ac:dyDescent="0.2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5.75" customHeight="1" x14ac:dyDescent="0.2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5.75" customHeight="1" x14ac:dyDescent="0.2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5.75" customHeight="1" x14ac:dyDescent="0.2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5.75" customHeight="1" x14ac:dyDescent="0.2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5.75" customHeight="1" x14ac:dyDescent="0.2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5.75" customHeight="1" x14ac:dyDescent="0.2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5.75" customHeight="1" x14ac:dyDescent="0.2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5.75" customHeight="1" x14ac:dyDescent="0.2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5.75" customHeight="1" x14ac:dyDescent="0.2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5.75" customHeight="1" x14ac:dyDescent="0.2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5.75" customHeight="1" x14ac:dyDescent="0.2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5.75" customHeight="1" x14ac:dyDescent="0.2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5.75" customHeight="1" x14ac:dyDescent="0.2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5.75" customHeight="1" x14ac:dyDescent="0.2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5.75" customHeight="1" x14ac:dyDescent="0.2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5.75" customHeight="1" x14ac:dyDescent="0.2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5.75" customHeight="1" x14ac:dyDescent="0.2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5.75" customHeight="1" x14ac:dyDescent="0.2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5.75" customHeight="1" x14ac:dyDescent="0.2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5.75" customHeight="1" x14ac:dyDescent="0.2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5.75" customHeight="1" x14ac:dyDescent="0.2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5.75" customHeight="1" x14ac:dyDescent="0.2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5.75" customHeight="1" x14ac:dyDescent="0.2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5.75" customHeight="1" x14ac:dyDescent="0.2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5.75" customHeight="1" x14ac:dyDescent="0.2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5.75" customHeight="1" x14ac:dyDescent="0.2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5.75" customHeight="1" x14ac:dyDescent="0.2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5.75" customHeight="1" x14ac:dyDescent="0.2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5.75" customHeight="1" x14ac:dyDescent="0.2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5.75" customHeight="1" x14ac:dyDescent="0.2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5.75" customHeight="1" x14ac:dyDescent="0.2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5.75" customHeight="1" x14ac:dyDescent="0.2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5.75" customHeight="1" x14ac:dyDescent="0.2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5.75" customHeight="1" x14ac:dyDescent="0.2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5.75" customHeight="1" x14ac:dyDescent="0.2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5.75" customHeight="1" x14ac:dyDescent="0.2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5.75" customHeight="1" x14ac:dyDescent="0.2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5.75" customHeight="1" x14ac:dyDescent="0.2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5.75" customHeight="1" x14ac:dyDescent="0.2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5.75" customHeight="1" x14ac:dyDescent="0.2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5.75" customHeight="1" x14ac:dyDescent="0.2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5.75" customHeight="1" x14ac:dyDescent="0.2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5.75" customHeight="1" x14ac:dyDescent="0.2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5.75" customHeight="1" x14ac:dyDescent="0.2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5.75" customHeight="1" x14ac:dyDescent="0.2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5.75" customHeight="1" x14ac:dyDescent="0.2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5.75" customHeight="1" x14ac:dyDescent="0.2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5.75" customHeight="1" x14ac:dyDescent="0.2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5.75" customHeight="1" x14ac:dyDescent="0.2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5.75" customHeight="1" x14ac:dyDescent="0.2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5.75" customHeight="1" x14ac:dyDescent="0.2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5.75" customHeight="1" x14ac:dyDescent="0.2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5.75" customHeight="1" x14ac:dyDescent="0.2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5.75" customHeight="1" x14ac:dyDescent="0.2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5.75" customHeight="1" x14ac:dyDescent="0.2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5.75" customHeight="1" x14ac:dyDescent="0.2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5.75" customHeight="1" x14ac:dyDescent="0.2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5.75" customHeight="1" x14ac:dyDescent="0.2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5.75" customHeight="1" x14ac:dyDescent="0.2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5.75" customHeight="1" x14ac:dyDescent="0.2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5.75" customHeight="1" x14ac:dyDescent="0.2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5.75" customHeight="1" x14ac:dyDescent="0.2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5.75" customHeight="1" x14ac:dyDescent="0.2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5.75" customHeight="1" x14ac:dyDescent="0.2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5.75" customHeight="1" x14ac:dyDescent="0.2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5.75" customHeight="1" x14ac:dyDescent="0.2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5.75" customHeight="1" x14ac:dyDescent="0.2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5.75" customHeight="1" x14ac:dyDescent="0.2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5.75" customHeight="1" x14ac:dyDescent="0.2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5.75" customHeight="1" x14ac:dyDescent="0.2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5.75" customHeight="1" x14ac:dyDescent="0.2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5.75" customHeight="1" x14ac:dyDescent="0.2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5.75" customHeight="1" x14ac:dyDescent="0.2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5.75" customHeight="1" x14ac:dyDescent="0.2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5.75" customHeight="1" x14ac:dyDescent="0.2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5.75" customHeight="1" x14ac:dyDescent="0.2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5.75" customHeight="1" x14ac:dyDescent="0.2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5.75" customHeight="1" x14ac:dyDescent="0.2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5.75" customHeight="1" x14ac:dyDescent="0.2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5.75" customHeight="1" x14ac:dyDescent="0.2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5.75" customHeight="1" x14ac:dyDescent="0.2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5.75" customHeight="1" x14ac:dyDescent="0.2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5.75" customHeight="1" x14ac:dyDescent="0.2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5.75" customHeight="1" x14ac:dyDescent="0.2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5.75" customHeight="1" x14ac:dyDescent="0.2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5.75" customHeight="1" x14ac:dyDescent="0.2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5.75" customHeight="1" x14ac:dyDescent="0.2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5.75" customHeight="1" x14ac:dyDescent="0.2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5.75" customHeight="1" x14ac:dyDescent="0.2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5.75" customHeight="1" x14ac:dyDescent="0.2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5.75" customHeight="1" x14ac:dyDescent="0.2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5.75" customHeight="1" x14ac:dyDescent="0.2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5.75" customHeight="1" x14ac:dyDescent="0.2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5.75" customHeight="1" x14ac:dyDescent="0.2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5.75" customHeight="1" x14ac:dyDescent="0.2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5.75" customHeight="1" x14ac:dyDescent="0.2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5.75" customHeight="1" x14ac:dyDescent="0.2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5.75" customHeight="1" x14ac:dyDescent="0.2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5.75" customHeight="1" x14ac:dyDescent="0.2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5.75" customHeight="1" x14ac:dyDescent="0.2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5.75" customHeight="1" x14ac:dyDescent="0.2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5.75" customHeight="1" x14ac:dyDescent="0.2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5.75" customHeight="1" x14ac:dyDescent="0.2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5.75" customHeight="1" x14ac:dyDescent="0.2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5.75" customHeight="1" x14ac:dyDescent="0.2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5.75" customHeight="1" x14ac:dyDescent="0.2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5.75" customHeight="1" x14ac:dyDescent="0.2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5.75" customHeight="1" x14ac:dyDescent="0.2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5.75" customHeight="1" x14ac:dyDescent="0.2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5.75" customHeight="1" x14ac:dyDescent="0.2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5.75" customHeight="1" x14ac:dyDescent="0.2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5.75" customHeight="1" x14ac:dyDescent="0.2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5.75" customHeight="1" x14ac:dyDescent="0.2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5.75" customHeight="1" x14ac:dyDescent="0.2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5.75" customHeight="1" x14ac:dyDescent="0.2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5.75" customHeight="1" x14ac:dyDescent="0.2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5.75" customHeight="1" x14ac:dyDescent="0.2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5.75" customHeight="1" x14ac:dyDescent="0.2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5.75" customHeight="1" x14ac:dyDescent="0.2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5.75" customHeight="1" x14ac:dyDescent="0.2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5.75" customHeight="1" x14ac:dyDescent="0.2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</sheetData>
  <mergeCells count="314">
    <mergeCell ref="P6:R9"/>
    <mergeCell ref="A89:B89"/>
    <mergeCell ref="E89:F89"/>
    <mergeCell ref="A90:B90"/>
    <mergeCell ref="C90:E90"/>
    <mergeCell ref="H89:I89"/>
    <mergeCell ref="H90:I90"/>
    <mergeCell ref="K90:L90"/>
    <mergeCell ref="J91:N91"/>
    <mergeCell ref="A10:N10"/>
    <mergeCell ref="B11:F11"/>
    <mergeCell ref="J11:M11"/>
    <mergeCell ref="A12:B12"/>
    <mergeCell ref="C12:G12"/>
    <mergeCell ref="H12:J12"/>
    <mergeCell ref="K12:N12"/>
    <mergeCell ref="K14:N14"/>
    <mergeCell ref="K15:N15"/>
    <mergeCell ref="K16:N16"/>
    <mergeCell ref="K17:L17"/>
    <mergeCell ref="K18:N18"/>
    <mergeCell ref="A13:B13"/>
    <mergeCell ref="C13:G13"/>
    <mergeCell ref="K13:N13"/>
    <mergeCell ref="L92:M92"/>
    <mergeCell ref="A91:G91"/>
    <mergeCell ref="H91:I91"/>
    <mergeCell ref="A92:D92"/>
    <mergeCell ref="E92:F92"/>
    <mergeCell ref="H92:I92"/>
    <mergeCell ref="A103:N104"/>
    <mergeCell ref="A105:N105"/>
    <mergeCell ref="J93:N93"/>
    <mergeCell ref="H101:N101"/>
    <mergeCell ref="C98:G98"/>
    <mergeCell ref="H98:K98"/>
    <mergeCell ref="L98:N98"/>
    <mergeCell ref="H100:K100"/>
    <mergeCell ref="A99:J99"/>
    <mergeCell ref="C100:G100"/>
    <mergeCell ref="L100:N100"/>
    <mergeCell ref="C101:G102"/>
    <mergeCell ref="B101:B102"/>
    <mergeCell ref="H102:K102"/>
    <mergeCell ref="L102:N102"/>
    <mergeCell ref="A96:B96"/>
    <mergeCell ref="A98:B98"/>
    <mergeCell ref="A94:N94"/>
    <mergeCell ref="A95:N95"/>
    <mergeCell ref="C96:G96"/>
    <mergeCell ref="H96:K96"/>
    <mergeCell ref="L96:N96"/>
    <mergeCell ref="A97:N97"/>
    <mergeCell ref="L126:M126"/>
    <mergeCell ref="L127:M127"/>
    <mergeCell ref="L129:M129"/>
    <mergeCell ref="L130:M130"/>
    <mergeCell ref="A130:C130"/>
    <mergeCell ref="A125:C125"/>
    <mergeCell ref="H125:J125"/>
    <mergeCell ref="L125:M125"/>
    <mergeCell ref="A126:C126"/>
    <mergeCell ref="H126:J126"/>
    <mergeCell ref="A106:N106"/>
    <mergeCell ref="A107:D107"/>
    <mergeCell ref="E107:N107"/>
    <mergeCell ref="A108:N108"/>
    <mergeCell ref="G109:N109"/>
    <mergeCell ref="G110:N110"/>
    <mergeCell ref="A111:N111"/>
    <mergeCell ref="A109:F109"/>
    <mergeCell ref="A110:F110"/>
    <mergeCell ref="L131:M131"/>
    <mergeCell ref="H127:J127"/>
    <mergeCell ref="H128:J128"/>
    <mergeCell ref="H129:J129"/>
    <mergeCell ref="H130:J130"/>
    <mergeCell ref="H131:J131"/>
    <mergeCell ref="A132:N132"/>
    <mergeCell ref="A133:N134"/>
    <mergeCell ref="A135:N135"/>
    <mergeCell ref="A131:D131"/>
    <mergeCell ref="A127:C127"/>
    <mergeCell ref="L128:M128"/>
    <mergeCell ref="A128:C128"/>
    <mergeCell ref="A129:C129"/>
    <mergeCell ref="A139:F139"/>
    <mergeCell ref="A140:F140"/>
    <mergeCell ref="G140:I140"/>
    <mergeCell ref="M140:N140"/>
    <mergeCell ref="F136:G136"/>
    <mergeCell ref="J136:K136"/>
    <mergeCell ref="F137:G137"/>
    <mergeCell ref="J137:K137"/>
    <mergeCell ref="A138:N138"/>
    <mergeCell ref="G139:I139"/>
    <mergeCell ref="M139:N139"/>
    <mergeCell ref="H112:J114"/>
    <mergeCell ref="A113:G114"/>
    <mergeCell ref="A115:N115"/>
    <mergeCell ref="A116:N116"/>
    <mergeCell ref="G120:K120"/>
    <mergeCell ref="L120:N120"/>
    <mergeCell ref="A117:N117"/>
    <mergeCell ref="A118:F118"/>
    <mergeCell ref="G118:K118"/>
    <mergeCell ref="L118:N118"/>
    <mergeCell ref="G119:K119"/>
    <mergeCell ref="L119:N119"/>
    <mergeCell ref="A112:G112"/>
    <mergeCell ref="A121:N121"/>
    <mergeCell ref="L122:M123"/>
    <mergeCell ref="N122:N123"/>
    <mergeCell ref="L124:M124"/>
    <mergeCell ref="H122:J123"/>
    <mergeCell ref="H124:J124"/>
    <mergeCell ref="A119:F120"/>
    <mergeCell ref="A122:C123"/>
    <mergeCell ref="D122:D123"/>
    <mergeCell ref="F122:F123"/>
    <mergeCell ref="G122:G123"/>
    <mergeCell ref="K122:K123"/>
    <mergeCell ref="A124:C124"/>
    <mergeCell ref="A1:H2"/>
    <mergeCell ref="J1:K2"/>
    <mergeCell ref="L1:L2"/>
    <mergeCell ref="A3:N3"/>
    <mergeCell ref="A4:C4"/>
    <mergeCell ref="D4:E4"/>
    <mergeCell ref="L4:M4"/>
    <mergeCell ref="K8:L8"/>
    <mergeCell ref="K9:L9"/>
    <mergeCell ref="H4:J4"/>
    <mergeCell ref="A5:N5"/>
    <mergeCell ref="A6:D6"/>
    <mergeCell ref="E6:M6"/>
    <mergeCell ref="A7:N7"/>
    <mergeCell ref="B8:I8"/>
    <mergeCell ref="B9:I9"/>
    <mergeCell ref="A14:B14"/>
    <mergeCell ref="C14:G14"/>
    <mergeCell ref="A15:B15"/>
    <mergeCell ref="C15:G15"/>
    <mergeCell ref="A16:B16"/>
    <mergeCell ref="C16:G16"/>
    <mergeCell ref="A17:B17"/>
    <mergeCell ref="C17:D17"/>
    <mergeCell ref="F17:G17"/>
    <mergeCell ref="A18:B18"/>
    <mergeCell ref="C18:G18"/>
    <mergeCell ref="G26:I26"/>
    <mergeCell ref="G27:I27"/>
    <mergeCell ref="G28:I28"/>
    <mergeCell ref="G29:I29"/>
    <mergeCell ref="G23:I23"/>
    <mergeCell ref="G24:I24"/>
    <mergeCell ref="G25:I25"/>
    <mergeCell ref="A19:N19"/>
    <mergeCell ref="A20:N20"/>
    <mergeCell ref="A21:N21"/>
    <mergeCell ref="G22:I22"/>
    <mergeCell ref="L22:M22"/>
    <mergeCell ref="A39:J39"/>
    <mergeCell ref="G40:I40"/>
    <mergeCell ref="M40:N40"/>
    <mergeCell ref="G41:I41"/>
    <mergeCell ref="A42:B42"/>
    <mergeCell ref="M43:N43"/>
    <mergeCell ref="A30:N30"/>
    <mergeCell ref="A31:N31"/>
    <mergeCell ref="A34:J34"/>
    <mergeCell ref="K34:N34"/>
    <mergeCell ref="A37:C37"/>
    <mergeCell ref="B38:C38"/>
    <mergeCell ref="F38:G38"/>
    <mergeCell ref="A35:J35"/>
    <mergeCell ref="K35:N35"/>
    <mergeCell ref="E36:F36"/>
    <mergeCell ref="H36:J36"/>
    <mergeCell ref="M36:N36"/>
    <mergeCell ref="F37:G37"/>
    <mergeCell ref="M37:N37"/>
    <mergeCell ref="M38:N38"/>
    <mergeCell ref="A32:N33"/>
    <mergeCell ref="L55:N55"/>
    <mergeCell ref="L56:N56"/>
    <mergeCell ref="L57:N57"/>
    <mergeCell ref="L58:N58"/>
    <mergeCell ref="L59:N59"/>
    <mergeCell ref="H46:J46"/>
    <mergeCell ref="K46:M46"/>
    <mergeCell ref="K47:N47"/>
    <mergeCell ref="A47:J47"/>
    <mergeCell ref="A48:N48"/>
    <mergeCell ref="A46:B46"/>
    <mergeCell ref="C46:G46"/>
    <mergeCell ref="D54:E54"/>
    <mergeCell ref="D55:E55"/>
    <mergeCell ref="D56:E56"/>
    <mergeCell ref="D57:E57"/>
    <mergeCell ref="D58:E58"/>
    <mergeCell ref="D59:E59"/>
    <mergeCell ref="F61:J61"/>
    <mergeCell ref="F62:J62"/>
    <mergeCell ref="M41:N41"/>
    <mergeCell ref="M42:N42"/>
    <mergeCell ref="M44:N44"/>
    <mergeCell ref="M45:N45"/>
    <mergeCell ref="G42:I42"/>
    <mergeCell ref="G43:I43"/>
    <mergeCell ref="G44:I44"/>
    <mergeCell ref="A49:N50"/>
    <mergeCell ref="C51:N51"/>
    <mergeCell ref="D52:E52"/>
    <mergeCell ref="F52:J52"/>
    <mergeCell ref="L52:N52"/>
    <mergeCell ref="L60:N60"/>
    <mergeCell ref="L61:N61"/>
    <mergeCell ref="L62:N62"/>
    <mergeCell ref="A51:B52"/>
    <mergeCell ref="A53:B53"/>
    <mergeCell ref="D53:E53"/>
    <mergeCell ref="A43:B43"/>
    <mergeCell ref="A45:J45"/>
    <mergeCell ref="L53:N53"/>
    <mergeCell ref="L54:N54"/>
    <mergeCell ref="D60:E60"/>
    <mergeCell ref="F53:J53"/>
    <mergeCell ref="A54:B54"/>
    <mergeCell ref="F54:J54"/>
    <mergeCell ref="F55:J55"/>
    <mergeCell ref="F56:J56"/>
    <mergeCell ref="F57:J57"/>
    <mergeCell ref="F58:J58"/>
    <mergeCell ref="F59:J59"/>
    <mergeCell ref="F60:J60"/>
    <mergeCell ref="A55:B55"/>
    <mergeCell ref="A56:B56"/>
    <mergeCell ref="A57:B57"/>
    <mergeCell ref="A58:B58"/>
    <mergeCell ref="A59:B59"/>
    <mergeCell ref="A60:B60"/>
    <mergeCell ref="A61:B61"/>
    <mergeCell ref="D66:E66"/>
    <mergeCell ref="D67:E67"/>
    <mergeCell ref="D61:E61"/>
    <mergeCell ref="D62:E62"/>
    <mergeCell ref="D63:E63"/>
    <mergeCell ref="D64:E64"/>
    <mergeCell ref="D65:E65"/>
    <mergeCell ref="A62:B62"/>
    <mergeCell ref="A63:B63"/>
    <mergeCell ref="A64:B64"/>
    <mergeCell ref="A65:B65"/>
    <mergeCell ref="A71:N71"/>
    <mergeCell ref="B72:D72"/>
    <mergeCell ref="E72:K72"/>
    <mergeCell ref="L72:N72"/>
    <mergeCell ref="A73:N73"/>
    <mergeCell ref="L74:N74"/>
    <mergeCell ref="A66:B66"/>
    <mergeCell ref="A67:B67"/>
    <mergeCell ref="A68:B68"/>
    <mergeCell ref="D68:E68"/>
    <mergeCell ref="L67:N67"/>
    <mergeCell ref="L68:N68"/>
    <mergeCell ref="L66:N66"/>
    <mergeCell ref="F63:J63"/>
    <mergeCell ref="F64:J64"/>
    <mergeCell ref="F65:J65"/>
    <mergeCell ref="F66:J66"/>
    <mergeCell ref="F67:J67"/>
    <mergeCell ref="F68:J68"/>
    <mergeCell ref="A69:N69"/>
    <mergeCell ref="B70:D70"/>
    <mergeCell ref="L70:N70"/>
    <mergeCell ref="L63:N63"/>
    <mergeCell ref="L64:N64"/>
    <mergeCell ref="L65:N65"/>
    <mergeCell ref="E76:K76"/>
    <mergeCell ref="L76:N76"/>
    <mergeCell ref="A77:N77"/>
    <mergeCell ref="A78:N78"/>
    <mergeCell ref="A79:N79"/>
    <mergeCell ref="A80:G80"/>
    <mergeCell ref="K80:N80"/>
    <mergeCell ref="B74:D74"/>
    <mergeCell ref="E74:K74"/>
    <mergeCell ref="A75:N75"/>
    <mergeCell ref="B76:D76"/>
    <mergeCell ref="K86:N86"/>
    <mergeCell ref="K87:N87"/>
    <mergeCell ref="K88:N88"/>
    <mergeCell ref="A85:B85"/>
    <mergeCell ref="A86:B86"/>
    <mergeCell ref="C86:G86"/>
    <mergeCell ref="H86:I86"/>
    <mergeCell ref="A87:B87"/>
    <mergeCell ref="C87:G87"/>
    <mergeCell ref="H87:I87"/>
    <mergeCell ref="A88:B88"/>
    <mergeCell ref="C88:G88"/>
    <mergeCell ref="H88:I88"/>
    <mergeCell ref="A81:N81"/>
    <mergeCell ref="A82:I82"/>
    <mergeCell ref="J82:N82"/>
    <mergeCell ref="J83:N83"/>
    <mergeCell ref="A83:H83"/>
    <mergeCell ref="A84:F84"/>
    <mergeCell ref="H84:I84"/>
    <mergeCell ref="J84:M84"/>
    <mergeCell ref="C85:G85"/>
    <mergeCell ref="H85:I85"/>
    <mergeCell ref="K85:N85"/>
  </mergeCells>
  <dataValidations xWindow="1179" yWindow="295" count="37">
    <dataValidation type="list" allowBlank="1" showInputMessage="1" showErrorMessage="1" prompt="MANDATORY - Valid entries are _x000a_Lease, Lease Renewal, SubLease, Referral, Consulting, Other (explain)" sqref="D4" xr:uid="{00000000-0002-0000-0000-000000000000}">
      <formula1>$A$188:$A$194</formula1>
    </dataValidation>
    <dataValidation type="list" allowBlank="1" showErrorMessage="1" prompt="Enter A, B, C or D" sqref="K23" xr:uid="{00000000-0002-0000-0000-000001000000}">
      <formula1>$A$165:$A$182</formula1>
    </dataValidation>
    <dataValidation type="list" allowBlank="1" showInputMessage="1" showErrorMessage="1" promptTitle="Representation" prompt="Listing_x000a_Procuring_x000a_Both = This agent was on both sides of the transaction_x000a_Referral = You are the referring agt or this agt is getting a referral _x000a_Other= this agent had nothing to do with the deal but money is due them for another re" sqref="D124" xr:uid="{00000000-0002-0000-0000-000002000000}">
      <formula1>$A$259:$A$264</formula1>
    </dataValidation>
    <dataValidation type="list" allowBlank="1" showErrorMessage="1" sqref="E22" xr:uid="{00000000-0002-0000-0000-000003000000}">
      <formula1>$A$238:$A$240</formula1>
    </dataValidation>
    <dataValidation type="list" allowBlank="1" showErrorMessage="1" sqref="E29" xr:uid="{00000000-0002-0000-0000-000004000000}">
      <formula1>$A$393:$A$395</formula1>
    </dataValidation>
    <dataValidation type="decimal" operator="equal" allowBlank="1" showInputMessage="1" showErrorMessage="1" prompt="Lease Term - This lease term should match the lease term above. Please be sure you have included your months of free rent in the schedule. Thank you" sqref="D68" xr:uid="{00000000-0002-0000-0000-000005000000}">
      <formula1>E38</formula1>
    </dataValidation>
    <dataValidation type="list" allowBlank="1" showInputMessage="1" showErrorMessage="1" prompt="Representation - Listing_x000a_Procurring_x000a_Both_x000a_Other= Agent referred deal only or agent had nothing to do with the deal but money was due them for another reason _x000a_EXPLAIN OTHER IN THE SPACE BELOW_x000a_" sqref="D125:D127" xr:uid="{00000000-0002-0000-0000-000006000000}">
      <formula1>$A$259:$A$264</formula1>
    </dataValidation>
    <dataValidation type="list" allowBlank="1" showInputMessage="1" showErrorMessage="1" prompt="INVOICE - Would you like us to invoice the listing Agent?_x000a_Y or N" sqref="N84" xr:uid="{00000000-0002-0000-0000-000007000000}">
      <formula1>$A$307:$A$309</formula1>
    </dataValidation>
    <dataValidation type="list" allowBlank="1" showInputMessage="1" showErrorMessage="1" prompt="CLOSE LISTING? - Do you want to Close this listing? Remove sign, multiples, website, etc.?_x000a_" sqref="N4" xr:uid="{00000000-0002-0000-0000-000008000000}">
      <formula1>$A$399:$A$401</formula1>
    </dataValidation>
    <dataValidation type="list" allowBlank="1" showInputMessage="1" showErrorMessage="1" prompt="Check Drop Down Box" sqref="M40" xr:uid="{00000000-0002-0000-0000-000009000000}">
      <formula1>$A$366:$A$368</formula1>
    </dataValidation>
    <dataValidation type="list" allowBlank="1" showErrorMessage="1" sqref="M29 K28:K29 C29" xr:uid="{00000000-0002-0000-0000-00000A000000}">
      <formula1>$A$145:$A$146</formula1>
    </dataValidation>
    <dataValidation type="list" allowBlank="1" showInputMessage="1" showErrorMessage="1" prompt="Does this Agent get a Co-op or Referral check from Lee?_x000a_Yes or No_x000a_" sqref="E92" xr:uid="{00000000-0002-0000-0000-00000C000000}">
      <formula1>$A$256:$A$258</formula1>
    </dataValidation>
    <dataValidation type="list" allowBlank="1" showErrorMessage="1" sqref="K25" xr:uid="{00000000-0002-0000-0000-00000D000000}">
      <formula1>$A$396:$A$398</formula1>
    </dataValidation>
    <dataValidation type="decimal" allowBlank="1" showInputMessage="1" showErrorMessage="1" prompt="Enter the starting lease rate of the transaction (ex. 1.10)_x000a_" sqref="C40" xr:uid="{00000000-0002-0000-0000-00000E000000}">
      <formula1>0.05</formula1>
      <formula2>1000</formula2>
    </dataValidation>
    <dataValidation type="list" allowBlank="1" showInputMessage="1" showErrorMessage="1" prompt="INVOICE - Would you like to invoice the Lessee/Buyer?_x000a_Y or N_x000a_" sqref="N11" xr:uid="{00000000-0002-0000-0000-00000F000000}">
      <formula1>$A$399:$A$401</formula1>
    </dataValidation>
    <dataValidation type="list" allowBlank="1" sqref="C85 K85" xr:uid="{00000000-0002-0000-0000-000010000000}">
      <formula1>$A$320:$A$365</formula1>
    </dataValidation>
    <dataValidation type="list" allowBlank="1" showInputMessage="1" showErrorMessage="1" prompt="INVOICE - Will a check be coming from Escrow?_x000a_" sqref="N46" xr:uid="{00000000-0002-0000-0000-000012000000}">
      <formula1>$A$393:$A$394</formula1>
    </dataValidation>
    <dataValidation type="list" allowBlank="1" showInputMessage="1" showErrorMessage="1" prompt="Is this a CURRENT Lee &amp; Associates Newport Beach ACTIVE listing?_x000a_Y or N_x000a__x000a_" sqref="K4" xr:uid="{00000000-0002-0000-0000-000013000000}">
      <formula1>$A$399:$A$401</formula1>
    </dataValidation>
    <dataValidation type="list" allowBlank="1" sqref="C26" xr:uid="{00000000-0002-0000-0000-000014000000}">
      <formula1>$A$369:$A$371</formula1>
    </dataValidation>
    <dataValidation type="list" allowBlank="1" showInputMessage="1" showErrorMessage="1" prompt="Representation - Listing_x000a_Procurring_x000a_Both_x000a_Referring= agent referred the deal only_x000a_Other = this agent had nothing to do with the deal but money was due them from another deal - please explain below_x000a_" sqref="D128:D130" xr:uid="{00000000-0002-0000-0000-000015000000}">
      <formula1>$A$259:$A$264</formula1>
    </dataValidation>
    <dataValidation type="list" allowBlank="1" showInputMessage="1" showErrorMessage="1" prompt="Valid entries are _x000a_Industrial, Office, Retail, Land, Investment, Self Storage, Other" sqref="G4" xr:uid="{00000000-0002-0000-0000-000016000000}">
      <formula1>$A$195:$A$203</formula1>
    </dataValidation>
    <dataValidation type="list" allowBlank="1" showInputMessage="1" showErrorMessage="1" prompt="INVOICE - Would you like to invoice the Lessor/Seller?_x000a_Y or N" sqref="G11" xr:uid="{00000000-0002-0000-0000-000018000000}">
      <formula1>$A$399:$A$401</formula1>
    </dataValidation>
    <dataValidation type="list" allowBlank="1" showErrorMessage="1" sqref="G22" xr:uid="{00000000-0002-0000-0000-000019000000}">
      <formula1>$A$383:$A$392</formula1>
    </dataValidation>
    <dataValidation type="list" allowBlank="1" showErrorMessage="1" prompt="Enter A, B, C or D" sqref="C25" xr:uid="{00000000-0002-0000-0000-00001A000000}">
      <formula1>$A$160:$A$164</formula1>
    </dataValidation>
    <dataValidation type="list" allowBlank="1" showInputMessage="1" showErrorMessage="1" prompt="Yes or No" sqref="O50:O51" xr:uid="{00000000-0002-0000-0000-00001B000000}">
      <formula1>$A$145:$A$146</formula1>
    </dataValidation>
    <dataValidation type="list" allowBlank="1" showInputMessage="1" showErrorMessage="1" prompt="Valid entries are N, NNN, MG, G, FSG" sqref="C41 C43" xr:uid="{00000000-0002-0000-0000-00001F000000}">
      <formula1>$A$147:$A$150</formula1>
    </dataValidation>
    <dataValidation type="list" allowBlank="1" showInputMessage="1" showErrorMessage="1" prompt="If &quot;Y&quot;, only fill in the Listing Agent information below. There is no need to fill out both sides if both sides were represented by the same person._x000a__x000a_" sqref="J80" xr:uid="{00000000-0002-0000-0000-000020000000}">
      <formula1>$A$393:$A$394</formula1>
    </dataValidation>
    <dataValidation type="list" allowBlank="1" showInputMessage="1" showErrorMessage="1" prompt="INVOICE - Would you like us to invoice the listing Agent? _x000a_Y or N" sqref="G84" xr:uid="{00000000-0002-0000-0000-000021000000}">
      <formula1>$A$307:$A$309</formula1>
    </dataValidation>
    <dataValidation type="date" allowBlank="1" showInputMessage="1" showErrorMessage="1" prompt="Enter the start date of the transaction _x000a_(ex. 12/31/03)" sqref="E36 H36 B38" xr:uid="{00000000-0002-0000-0000-000022000000}">
      <formula1>36526</formula1>
      <formula2>54789</formula2>
    </dataValidation>
    <dataValidation type="list" allowBlank="1" showInputMessage="1" showErrorMessage="1" prompt="Does this Agent get a Co-op or Referral check from Lee?_x000a_Yes or No_x000a_" sqref="L92" xr:uid="{00000000-0002-0000-0000-000023000000}">
      <formula1>$A$307:$A$309</formula1>
    </dataValidation>
    <dataValidation type="list" allowBlank="1" showErrorMessage="1" sqref="E23" xr:uid="{30B44FE0-17F3-4D7D-B220-834FDFCF42C7}">
      <formula1>$A$152:$A$159</formula1>
    </dataValidation>
    <dataValidation type="list" allowBlank="1" showInputMessage="1" showErrorMessage="1" sqref="G27" xr:uid="{8F19C8EE-6DF8-47A9-8794-A215D61751C3}">
      <formula1>$A$147:$A$150</formula1>
    </dataValidation>
    <dataValidation type="list" allowBlank="1" showErrorMessage="1" prompt="Enter A, B, C or D" sqref="G23" xr:uid="{BD8A7E14-898B-475C-9447-D5A9AB1AF480}">
      <formula1>$A$218:$A$223</formula1>
    </dataValidation>
    <dataValidation type="list" allowBlank="1" showInputMessage="1" showErrorMessage="1" prompt="CONFIDENTIAL DEAL? - Is this a confidential deal when it comes to Marketing?_x000a_Y or N" sqref="L1:L2" xr:uid="{78624489-CE8D-475F-BCB7-D507D8EBC942}">
      <formula1>$A$307:$A$309</formula1>
    </dataValidation>
    <dataValidation type="list" allowBlank="1" showInputMessage="1" showErrorMessage="1" prompt="Close to the finish line! - Please be sure that ALL required information is completed before submitting._x000a__x000a_Any missing information will cause a delay in the processing of your invoice. _x000a__x000a_Thank you" sqref="A124" xr:uid="{00000000-0002-0000-0000-000011000000}">
      <formula1>$A$266:$A$306</formula1>
    </dataValidation>
    <dataValidation type="list" allowBlank="1" showInputMessage="1" showErrorMessage="1" prompt="This field is for Lee Newport agents ONLY_x000a_" sqref="A125:A130" xr:uid="{00000000-0002-0000-0000-00001C000000}">
      <formula1>$A$266:$A$306</formula1>
    </dataValidation>
    <dataValidation type="list" allowBlank="1" sqref="C86" xr:uid="{00000000-0002-0000-0000-00001E000000}">
      <formula1>$A$266:$A$306</formula1>
    </dataValidation>
  </dataValidations>
  <printOptions horizontalCentered="1"/>
  <pageMargins left="0" right="0" top="0.01" bottom="0" header="0" footer="0"/>
  <pageSetup scale="87" orientation="portrait" r:id="rId1"/>
  <rowBreaks count="1" manualBreakCount="1">
    <brk id="77" max="13" man="1"/>
  </rowBreaks>
  <ignoredErrors>
    <ignoredError sqref="M37:N38" unlockedFormula="1"/>
    <ignoredError sqref="F38" evalError="1"/>
  </ignoredError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d16f8ff1-e4a8-453b-bbaa-0385528a9a62">
      <UserInfo>
        <DisplayName/>
        <AccountId xsi:nil="true"/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C72BE09C09BB4C90092241A85E8D31" ma:contentTypeVersion="10" ma:contentTypeDescription="Create a new document." ma:contentTypeScope="" ma:versionID="df2d61bddfafbe8cf7c251bddd79cc96">
  <xsd:schema xmlns:xsd="http://www.w3.org/2001/XMLSchema" xmlns:xs="http://www.w3.org/2001/XMLSchema" xmlns:p="http://schemas.microsoft.com/office/2006/metadata/properties" xmlns:ns2="d16f8ff1-e4a8-453b-bbaa-0385528a9a62" xmlns:ns3="b261e606-cfb6-48f6-bf83-d838d829d9bc" targetNamespace="http://schemas.microsoft.com/office/2006/metadata/properties" ma:root="true" ma:fieldsID="54d7511fe60f174a9a1c1bc22515fed7" ns2:_="" ns3:_="">
    <xsd:import namespace="d16f8ff1-e4a8-453b-bbaa-0385528a9a62"/>
    <xsd:import namespace="b261e606-cfb6-48f6-bf83-d838d829d9bc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16f8ff1-e4a8-453b-bbaa-0385528a9a62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261e606-cfb6-48f6-bf83-d838d829d9b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FC578AB-7E02-4769-9AC2-D47C9B4D1021}">
  <ds:schemaRefs>
    <ds:schemaRef ds:uri="http://purl.org/dc/terms/"/>
    <ds:schemaRef ds:uri="http://schemas.microsoft.com/office/infopath/2007/PartnerControls"/>
    <ds:schemaRef ds:uri="http://schemas.microsoft.com/office/2006/documentManagement/types"/>
    <ds:schemaRef ds:uri="b261e606-cfb6-48f6-bf83-d838d829d9bc"/>
    <ds:schemaRef ds:uri="d16f8ff1-e4a8-453b-bbaa-0385528a9a62"/>
    <ds:schemaRef ds:uri="http://schemas.microsoft.com/office/2006/metadata/properties"/>
    <ds:schemaRef ds:uri="http://purl.org/dc/elements/1.1/"/>
    <ds:schemaRef ds:uri="http://purl.org/dc/dcmitype/"/>
    <ds:schemaRef ds:uri="http://www.w3.org/XML/1998/namespace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F6DAE277-57D3-4926-8858-B3634EA88E2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29CB114-995A-4A7C-821F-326C539BE3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16f8ff1-e4a8-453b-bbaa-0385528a9a62"/>
    <ds:schemaRef ds:uri="b261e606-cfb6-48f6-bf83-d838d829d9b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Michael Kane</dc:creator>
  <cp:keywords/>
  <dc:description/>
  <cp:lastModifiedBy>Taylor Barnes</cp:lastModifiedBy>
  <cp:revision/>
  <dcterms:created xsi:type="dcterms:W3CDTF">2022-06-23T00:36:31Z</dcterms:created>
  <dcterms:modified xsi:type="dcterms:W3CDTF">2026-04-03T19:29:49Z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0x01010061C72BE09C09BB4C90092241A85E8D31</vt:lpwstr>
  </property>
  <property fmtid="{D5CDD505-2E9C-101B-9397-08002B2CF9AE}" pid="3" name="MediaServiceImageTags">
    <vt:lpwstr/>
  </property>
  <property fmtid="{D5CDD505-2E9C-101B-9397-08002B2CF9AE}" pid="4" name="Order">
    <vt:r8>3467000</vt:r8>
  </property>
  <property fmtid="{D5CDD505-2E9C-101B-9397-08002B2CF9AE}" pid="5" name="_ExtendedDescription">
    <vt:lpwstr/>
  </property>
  <property fmtid="{D5CDD505-2E9C-101B-9397-08002B2CF9AE}" pid="6" name="TriggerFlowInfo">
    <vt:lpwstr/>
  </property>
  <property fmtid="{D5CDD505-2E9C-101B-9397-08002B2CF9AE}" pid="7" name="ComplianceAssetId">
    <vt:lpwstr/>
  </property>
</Properties>
</file>