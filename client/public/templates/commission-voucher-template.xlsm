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eeassoccre.sharepoint.com/sites/leeassociates-newportbeach/Shared Documents/"/>
    </mc:Choice>
  </mc:AlternateContent>
  <xr:revisionPtr revIDLastSave="29" documentId="8_{A25DCDDF-A528-8448-B24D-B34E820798B9}" xr6:coauthVersionLast="47" xr6:coauthVersionMax="47" xr10:uidLastSave="{7AD8A206-BF8A-4BC1-BA0D-0F1DE36BB5F1}"/>
  <workbookProtection workbookAlgorithmName="SHA-512" workbookHashValue="nDkfmn+Iexi71vvYpeEN1BTNBLSuW4lwI01MRz7YGAW0no247YDo4Q577TIDYHpBijQzYpa736Mgs/Go1ocb4w==" workbookSaltValue="Mc/Q3G0m/nRuFJiWMxr+7g==" workbookSpinCount="100000" lockStructure="1"/>
  <bookViews>
    <workbookView xWindow="-29140" yWindow="1860" windowWidth="29140" windowHeight="14600" xr2:uid="{00000000-000D-0000-FFFF-FFFF00000000}"/>
  </bookViews>
  <sheets>
    <sheet name="Sheet1" sheetId="1" r:id="rId1"/>
  </sheets>
  <definedNames>
    <definedName name="_xlnm.Print_Area" localSheetId="0">Sheet1!$A$1:$N$140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" l="1"/>
  <c r="E70" i="1" s="1"/>
  <c r="C36" i="1"/>
  <c r="N2" i="1"/>
  <c r="M38" i="1" l="1"/>
  <c r="K140" i="1"/>
  <c r="A139" i="1"/>
  <c r="L137" i="1"/>
  <c r="E131" i="1"/>
  <c r="L130" i="1"/>
  <c r="K130" i="1"/>
  <c r="H130" i="1"/>
  <c r="G130" i="1"/>
  <c r="F130" i="1"/>
  <c r="L129" i="1"/>
  <c r="K129" i="1"/>
  <c r="H129" i="1"/>
  <c r="G129" i="1"/>
  <c r="F129" i="1"/>
  <c r="L128" i="1"/>
  <c r="K128" i="1"/>
  <c r="H128" i="1"/>
  <c r="G128" i="1"/>
  <c r="F128" i="1"/>
  <c r="L127" i="1"/>
  <c r="K127" i="1"/>
  <c r="H127" i="1"/>
  <c r="G127" i="1"/>
  <c r="F127" i="1"/>
  <c r="L126" i="1"/>
  <c r="K126" i="1"/>
  <c r="H126" i="1"/>
  <c r="G126" i="1"/>
  <c r="F126" i="1"/>
  <c r="L125" i="1"/>
  <c r="K125" i="1"/>
  <c r="H125" i="1"/>
  <c r="L124" i="1"/>
  <c r="K124" i="1"/>
  <c r="H124" i="1"/>
  <c r="A119" i="1"/>
  <c r="E107" i="1"/>
  <c r="L102" i="1"/>
  <c r="L119" i="1" s="1"/>
  <c r="D137" i="1" s="1"/>
  <c r="C98" i="1"/>
  <c r="C96" i="1"/>
  <c r="A68" i="1"/>
  <c r="L67" i="1"/>
  <c r="F67" i="1"/>
  <c r="C67" i="1"/>
  <c r="L66" i="1"/>
  <c r="F66" i="1"/>
  <c r="C66" i="1"/>
  <c r="L65" i="1"/>
  <c r="F65" i="1"/>
  <c r="C65" i="1"/>
  <c r="L64" i="1"/>
  <c r="F64" i="1"/>
  <c r="C64" i="1"/>
  <c r="L63" i="1"/>
  <c r="F63" i="1"/>
  <c r="C63" i="1"/>
  <c r="L62" i="1"/>
  <c r="F62" i="1"/>
  <c r="C62" i="1"/>
  <c r="L61" i="1"/>
  <c r="F61" i="1"/>
  <c r="C61" i="1"/>
  <c r="L60" i="1"/>
  <c r="F60" i="1"/>
  <c r="C60" i="1"/>
  <c r="L59" i="1"/>
  <c r="F59" i="1"/>
  <c r="C59" i="1"/>
  <c r="L58" i="1"/>
  <c r="F58" i="1"/>
  <c r="C58" i="1"/>
  <c r="L57" i="1"/>
  <c r="F57" i="1"/>
  <c r="C57" i="1"/>
  <c r="C56" i="1"/>
  <c r="F56" i="1"/>
  <c r="L56" i="1"/>
  <c r="C55" i="1"/>
  <c r="F55" i="1"/>
  <c r="L55" i="1"/>
  <c r="L53" i="1"/>
  <c r="M44" i="1"/>
  <c r="L72" i="1" s="1"/>
  <c r="J44" i="1"/>
  <c r="J43" i="1"/>
  <c r="F43" i="1"/>
  <c r="M37" i="1"/>
  <c r="C54" i="1"/>
  <c r="F54" i="1"/>
  <c r="L54" i="1"/>
  <c r="G124" i="1"/>
  <c r="G125" i="1"/>
  <c r="J42" i="1"/>
  <c r="C53" i="1" l="1"/>
  <c r="F53" i="1" s="1"/>
  <c r="F68" i="1" s="1"/>
  <c r="N126" i="1"/>
  <c r="L131" i="1"/>
  <c r="N129" i="1"/>
  <c r="N127" i="1"/>
  <c r="G131" i="1"/>
  <c r="N130" i="1"/>
  <c r="H131" i="1"/>
  <c r="N128" i="1"/>
  <c r="L68" i="1"/>
  <c r="L76" i="1" s="1"/>
  <c r="L118" i="1" s="1"/>
  <c r="B137" i="1" s="1"/>
  <c r="K131" i="1"/>
  <c r="B72" i="1" l="1"/>
  <c r="F38" i="1"/>
  <c r="B76" i="1"/>
  <c r="L120" i="1"/>
  <c r="F124" i="1" l="1"/>
  <c r="F125" i="1"/>
  <c r="N125" i="1" s="1"/>
  <c r="F131" i="1" l="1"/>
  <c r="F137" i="1" s="1"/>
  <c r="N124" i="1"/>
  <c r="J137" i="1" l="1"/>
  <c r="M137" i="1" s="1"/>
  <c r="N137" i="1" s="1"/>
  <c r="N131" i="1"/>
</calcChain>
</file>

<file path=xl/sharedStrings.xml><?xml version="1.0" encoding="utf-8"?>
<sst xmlns="http://schemas.openxmlformats.org/spreadsheetml/2006/main" count="441" uniqueCount="379">
  <si>
    <r>
      <t xml:space="preserve">Lease/Sale Commission &amp; Comp Voucher </t>
    </r>
    <r>
      <rPr>
        <sz val="11"/>
        <color rgb="FF500050"/>
        <rFont val="Times New Roman"/>
        <family val="1"/>
      </rPr>
      <t>(rev. 3/4/25)</t>
    </r>
  </si>
  <si>
    <t>Confidential?</t>
  </si>
  <si>
    <t>Date Filled</t>
  </si>
  <si>
    <t>Transaction Type</t>
  </si>
  <si>
    <t>Prop Type</t>
  </si>
  <si>
    <t>Active Listing?</t>
  </si>
  <si>
    <t>Close this Listing?</t>
  </si>
  <si>
    <t>If Deal/Property type is other, explain:</t>
  </si>
  <si>
    <r>
      <t xml:space="preserve">Please be sure to </t>
    </r>
    <r>
      <rPr>
        <b/>
        <i/>
        <u/>
        <sz val="8"/>
        <color rgb="FFFF0000"/>
        <rFont val="Arial"/>
        <family val="2"/>
      </rPr>
      <t>"Enable Macro's"</t>
    </r>
    <r>
      <rPr>
        <i/>
        <sz val="8"/>
        <color rgb="FFFF0000"/>
        <rFont val="Arial"/>
        <family val="2"/>
      </rPr>
      <t xml:space="preserve"> when using this form. Failure to do so will hinder functionality.</t>
    </r>
  </si>
  <si>
    <t>Property Street Address</t>
  </si>
  <si>
    <t>City</t>
  </si>
  <si>
    <t>Zip Code</t>
  </si>
  <si>
    <t>Do you want to Invoice the Lessor/Seller?</t>
  </si>
  <si>
    <t>Do you want to Invoice the Lessee/Buyer?</t>
  </si>
  <si>
    <t>Lessor/Seller</t>
  </si>
  <si>
    <t>Lessee/Buyer</t>
  </si>
  <si>
    <t>Contact Name</t>
  </si>
  <si>
    <t xml:space="preserve">Email </t>
  </si>
  <si>
    <t>Address</t>
  </si>
  <si>
    <t>State</t>
  </si>
  <si>
    <t>Zip</t>
  </si>
  <si>
    <t>Phone</t>
  </si>
  <si>
    <t>PROPERTY INFORMATION (Mandatory completion all that apply)</t>
  </si>
  <si>
    <t>Suite/Unit</t>
  </si>
  <si>
    <t>Occ. Type</t>
  </si>
  <si>
    <t>Deal Type</t>
  </si>
  <si>
    <t>Prior Tenant Location</t>
  </si>
  <si>
    <t>Deal Sq Ft</t>
  </si>
  <si>
    <t>Sub-Market</t>
  </si>
  <si>
    <t>Const Type</t>
  </si>
  <si>
    <t>Sub-type</t>
  </si>
  <si>
    <t>Land SF</t>
  </si>
  <si>
    <t>Total Bldg SF</t>
  </si>
  <si>
    <t>Ind. SF</t>
  </si>
  <si>
    <t>Whse SF</t>
  </si>
  <si>
    <t>Office SF</t>
  </si>
  <si>
    <t>Retail SF</t>
  </si>
  <si>
    <t>Bldg Class</t>
  </si>
  <si>
    <t>Year Built</t>
  </si>
  <si>
    <t># of Floors</t>
  </si>
  <si>
    <t>Elevators</t>
  </si>
  <si>
    <t># of Elev</t>
  </si>
  <si>
    <t>Parking Type</t>
  </si>
  <si>
    <t># of Spaces</t>
  </si>
  <si>
    <t>Park Ratio</t>
  </si>
  <si>
    <t>Reserved</t>
  </si>
  <si>
    <t>Unreserved</t>
  </si>
  <si>
    <t>Load Factor</t>
  </si>
  <si>
    <t>Opex. $/sf</t>
  </si>
  <si>
    <t>Lease Type</t>
  </si>
  <si>
    <t>Rsrvd $/mo</t>
  </si>
  <si>
    <t>Unrsvd $/mo</t>
  </si>
  <si>
    <t>DH Doors</t>
  </si>
  <si>
    <t>GL Doors</t>
  </si>
  <si>
    <t>Clear Height</t>
  </si>
  <si>
    <t>Sprinklers</t>
  </si>
  <si>
    <t>Amps</t>
  </si>
  <si>
    <t>Rail</t>
  </si>
  <si>
    <t>Yard</t>
  </si>
  <si>
    <t>Bldg Cond.</t>
  </si>
  <si>
    <t>Multi-Tenant</t>
  </si>
  <si>
    <t>POL</t>
  </si>
  <si>
    <r>
      <rPr>
        <b/>
        <sz val="8"/>
        <color rgb="FF333333"/>
        <rFont val="Arial"/>
        <family val="2"/>
      </rPr>
      <t>Additional Comp Comments (</t>
    </r>
    <r>
      <rPr>
        <b/>
        <i/>
        <sz val="8"/>
        <color rgb="FF333333"/>
        <rFont val="Arial"/>
        <family val="2"/>
      </rPr>
      <t>give as much detail as possible</t>
    </r>
    <r>
      <rPr>
        <b/>
        <sz val="8"/>
        <color rgb="FF333333"/>
        <rFont val="Arial"/>
        <family val="2"/>
      </rPr>
      <t>)? HVAC? Expenses? Maintenance? Taxes? Anything you would like to add!</t>
    </r>
  </si>
  <si>
    <t>LEASE TRANSACTION DETAILS</t>
  </si>
  <si>
    <t>SALE TRANSACTION DETAILS</t>
  </si>
  <si>
    <t>Start Date</t>
  </si>
  <si>
    <t>End Date</t>
  </si>
  <si>
    <t>Total Consideration</t>
  </si>
  <si>
    <t>Occupancy Date</t>
  </si>
  <si>
    <t>Term</t>
  </si>
  <si>
    <t>Mths on Mkt</t>
  </si>
  <si>
    <t>Price/Sq.Ft</t>
  </si>
  <si>
    <t>Land Price/Sq.Ft</t>
  </si>
  <si>
    <t>Rate p/sf</t>
  </si>
  <si>
    <t>Property Taxes</t>
  </si>
  <si>
    <t>TI Allow p/sf</t>
  </si>
  <si>
    <t>User,  Investor or Developer</t>
  </si>
  <si>
    <t/>
  </si>
  <si>
    <t>Rate Type</t>
  </si>
  <si>
    <t>Insurance</t>
  </si>
  <si>
    <t>TI Allow Dollars</t>
  </si>
  <si>
    <t>Asking Price</t>
  </si>
  <si>
    <t>Asking Rate p/sf</t>
  </si>
  <si>
    <t>Miscellaneous</t>
  </si>
  <si>
    <t>Grs Eff Rate</t>
  </si>
  <si>
    <t>Cap Rate %</t>
  </si>
  <si>
    <t>Asking type</t>
  </si>
  <si>
    <t>Total NNN Charges</t>
  </si>
  <si>
    <t>IG Eff Rate</t>
  </si>
  <si>
    <t>What is your Commission %</t>
  </si>
  <si>
    <t>Escalations</t>
  </si>
  <si>
    <t>NNN Eff Rate</t>
  </si>
  <si>
    <t>Sale Commission Due</t>
  </si>
  <si>
    <t>Name of Escrow Company</t>
  </si>
  <si>
    <t>Options:</t>
  </si>
  <si>
    <t>Is a check/wire coming from Escrow?</t>
  </si>
  <si>
    <t>Additional Lease Comments you would like added?</t>
  </si>
  <si>
    <t>Monthly &amp; Free Rent</t>
  </si>
  <si>
    <r>
      <rPr>
        <b/>
        <i/>
        <sz val="9"/>
        <color rgb="FF800000"/>
        <rFont val="Arial"/>
        <family val="2"/>
      </rPr>
      <t xml:space="preserve">NOTE: </t>
    </r>
    <r>
      <rPr>
        <b/>
        <i/>
        <sz val="9"/>
        <color rgb="FF800000"/>
        <rFont val="Arial"/>
        <family val="2"/>
      </rPr>
      <t xml:space="preserve">Please be sure to </t>
    </r>
    <r>
      <rPr>
        <b/>
        <i/>
        <sz val="10"/>
        <color rgb="FF800000"/>
        <rFont val="Arial"/>
        <family val="2"/>
      </rPr>
      <t>include the free rent months correctly in the schedule below</t>
    </r>
    <r>
      <rPr>
        <b/>
        <i/>
        <sz val="9"/>
        <color rgb="FF800000"/>
        <rFont val="Arial"/>
        <family val="2"/>
      </rPr>
      <t xml:space="preserve">. </t>
    </r>
    <r>
      <rPr>
        <i/>
        <sz val="9"/>
        <color rgb="FF800000"/>
        <rFont val="Arial"/>
        <family val="2"/>
      </rPr>
      <t>This way the Effective rates calculate correctly! Ex: If the free rent is in the 13th month - enter it that way below.</t>
    </r>
    <r>
      <rPr>
        <b/>
        <i/>
        <sz val="9"/>
        <color rgb="FF800000"/>
        <rFont val="Arial"/>
        <family val="2"/>
      </rPr>
      <t xml:space="preserve"> </t>
    </r>
    <r>
      <rPr>
        <b/>
        <sz val="9"/>
        <color rgb="FF800000"/>
        <rFont val="Arial"/>
        <family val="2"/>
      </rPr>
      <t xml:space="preserve"> </t>
    </r>
    <r>
      <rPr>
        <b/>
        <sz val="9"/>
        <color rgb="FF800000"/>
        <rFont val="Arial"/>
        <family val="2"/>
      </rPr>
      <t>If the terms do not match something is wrong!</t>
    </r>
  </si>
  <si>
    <t>Rate/SF</t>
  </si>
  <si>
    <t>Consideration</t>
  </si>
  <si>
    <t>Rate</t>
  </si>
  <si>
    <t>Commission Due</t>
  </si>
  <si>
    <t>Comm Due</t>
  </si>
  <si>
    <t>Average Rate/SF</t>
  </si>
  <si>
    <t>Additional Bonus OR (Credit/Adjustment)</t>
  </si>
  <si>
    <t>SALE Commission (from above)</t>
  </si>
  <si>
    <t>Average Monthly Rent</t>
  </si>
  <si>
    <t>Consulting/Referral, Flat Fee OR (Credit/Adjustment)</t>
  </si>
  <si>
    <t>TOTAL INVOICE</t>
  </si>
  <si>
    <t>BROKER REPRESENTATION</t>
  </si>
  <si>
    <t>Are the Listing Agent and Procurring Agent the SAME PERSON (?)</t>
  </si>
  <si>
    <t>House name, agent name &amp; city are usually sufficient</t>
  </si>
  <si>
    <t>LISTING AGENT INFORMATION</t>
  </si>
  <si>
    <t>PROCURING AGENT INFORMATION</t>
  </si>
  <si>
    <t>Do you want to Invoice the Listing Agent?</t>
  </si>
  <si>
    <t>Do you want to Invoice the Procuring Agent?</t>
  </si>
  <si>
    <t>House</t>
  </si>
  <si>
    <t>Agent Name</t>
  </si>
  <si>
    <t>If the Listing agent above is not from Lee Newport and you need to pay them a fee from this commission - select YES below</t>
  </si>
  <si>
    <t>If the Procuring agent above is not from Lee Newport and you need to pay them a fee from this commission - select YES below</t>
  </si>
  <si>
    <t>YES or NO</t>
  </si>
  <si>
    <r>
      <rPr>
        <b/>
        <sz val="12"/>
        <color rgb="FFC00000"/>
        <rFont val="Times New Roman"/>
        <family val="1"/>
      </rPr>
      <t xml:space="preserve">OUTSIDE AGENTS </t>
    </r>
    <r>
      <rPr>
        <sz val="12"/>
        <color rgb="FFC00000"/>
        <rFont val="Times New Roman"/>
        <family val="1"/>
      </rPr>
      <t>(Co-operating brokers, referrals, etc.)</t>
    </r>
  </si>
  <si>
    <t>Listing side</t>
  </si>
  <si>
    <t>Amount to Pay</t>
  </si>
  <si>
    <t>Procuring side</t>
  </si>
  <si>
    <t>Use space below to type in a different Co-op/Referral not listed above</t>
  </si>
  <si>
    <t>Name</t>
  </si>
  <si>
    <t>To be paid to Outside Agents</t>
  </si>
  <si>
    <r>
      <rPr>
        <b/>
        <i/>
        <sz val="8"/>
        <color rgb="FF4F6128"/>
        <rFont val="Arial"/>
        <family val="2"/>
      </rPr>
      <t>Please Note:</t>
    </r>
    <r>
      <rPr>
        <i/>
        <sz val="8"/>
        <color rgb="FF4F6128"/>
        <rFont val="Arial"/>
        <family val="2"/>
      </rPr>
      <t xml:space="preserve"> A completed W9 is must be received on all new co-ops/referrals before commissions can be processed. You can find a blank W9 on the intranet</t>
    </r>
  </si>
  <si>
    <t>INVOICE:</t>
  </si>
  <si>
    <t>Invoice a different Company?</t>
  </si>
  <si>
    <t>Address:</t>
  </si>
  <si>
    <t>Special Invoice Instructions</t>
  </si>
  <si>
    <t>Date Due</t>
  </si>
  <si>
    <t>Amt Due</t>
  </si>
  <si>
    <t>COMMISSION DISTRIBUTION</t>
  </si>
  <si>
    <t>Total to be paid to Outside Agents</t>
  </si>
  <si>
    <t xml:space="preserve">GROSS $$ to Distribute </t>
  </si>
  <si>
    <t>AGENT'S NAME</t>
  </si>
  <si>
    <t>Side Represented</t>
  </si>
  <si>
    <t>GROSS</t>
  </si>
  <si>
    <t>Listing Gross</t>
  </si>
  <si>
    <t>Procurring Gross</t>
  </si>
  <si>
    <t>Both GROSS</t>
  </si>
  <si>
    <t>Other Gross</t>
  </si>
  <si>
    <t>Referring Gross</t>
  </si>
  <si>
    <t>NET                              (ck amount)</t>
  </si>
  <si>
    <t>%</t>
  </si>
  <si>
    <t>MUST total 100% &gt;&gt;&gt;&gt;&gt;&gt;&gt;</t>
  </si>
  <si>
    <t>Other:</t>
  </si>
  <si>
    <t>OFFICE USE ONLY</t>
  </si>
  <si>
    <t>Inv Amt</t>
  </si>
  <si>
    <t>Less Coop</t>
  </si>
  <si>
    <t>Agents Gross</t>
  </si>
  <si>
    <t>Agents Net</t>
  </si>
  <si>
    <t>Active Lisitng</t>
  </si>
  <si>
    <t>Total House</t>
  </si>
  <si>
    <t>Total agt/hse</t>
  </si>
  <si>
    <t>COMP Source</t>
  </si>
  <si>
    <t>W9 Requested</t>
  </si>
  <si>
    <t>CONFIDENTIAL</t>
  </si>
  <si>
    <t>SCANNED</t>
  </si>
  <si>
    <t>COMP NUMBER</t>
  </si>
  <si>
    <t>YES   or   NO</t>
  </si>
  <si>
    <t>YES  or  NO</t>
  </si>
  <si>
    <t>Procuring</t>
  </si>
  <si>
    <t>Procuring/Listing</t>
  </si>
  <si>
    <t>Listing</t>
  </si>
  <si>
    <t>Referral</t>
  </si>
  <si>
    <t>Y</t>
  </si>
  <si>
    <t>N</t>
  </si>
  <si>
    <t>NNN</t>
  </si>
  <si>
    <t>IG</t>
  </si>
  <si>
    <t>FSG</t>
  </si>
  <si>
    <t>description</t>
  </si>
  <si>
    <t>SCM</t>
  </si>
  <si>
    <t>IBC</t>
  </si>
  <si>
    <t>SAE</t>
  </si>
  <si>
    <t>WC</t>
  </si>
  <si>
    <t>NM</t>
  </si>
  <si>
    <t>SOC</t>
  </si>
  <si>
    <t>NOC</t>
  </si>
  <si>
    <t>Other</t>
  </si>
  <si>
    <t>A</t>
  </si>
  <si>
    <t>B</t>
  </si>
  <si>
    <t>C</t>
  </si>
  <si>
    <t>D</t>
  </si>
  <si>
    <t>Trophy</t>
  </si>
  <si>
    <t>Low Rise</t>
  </si>
  <si>
    <t>Mid Rise</t>
  </si>
  <si>
    <t>High Rise</t>
  </si>
  <si>
    <t>Flex/R&amp;D</t>
  </si>
  <si>
    <t>Medical</t>
  </si>
  <si>
    <t>Mfg</t>
  </si>
  <si>
    <t>Whse/Dist</t>
  </si>
  <si>
    <t>Light Ind</t>
  </si>
  <si>
    <t>Showroom</t>
  </si>
  <si>
    <t>Multi Ind</t>
  </si>
  <si>
    <t>Multi R&amp;D</t>
  </si>
  <si>
    <t>Automative</t>
  </si>
  <si>
    <t>Ind Zoned</t>
  </si>
  <si>
    <t>Off Zoned</t>
  </si>
  <si>
    <t>Ret Zoned</t>
  </si>
  <si>
    <t>Resi Zoned</t>
  </si>
  <si>
    <t>Retail</t>
  </si>
  <si>
    <t>Investment</t>
  </si>
  <si>
    <t>Land</t>
  </si>
  <si>
    <t>Describe</t>
  </si>
  <si>
    <t>In Acres</t>
  </si>
  <si>
    <t>Lease</t>
  </si>
  <si>
    <t>SubLease</t>
  </si>
  <si>
    <t>Lease Renewal</t>
  </si>
  <si>
    <t>Consulting</t>
  </si>
  <si>
    <t>Sale</t>
  </si>
  <si>
    <t>Other (explain)</t>
  </si>
  <si>
    <t>Industrial</t>
  </si>
  <si>
    <t>Office</t>
  </si>
  <si>
    <t>Self Storage</t>
  </si>
  <si>
    <t>Hospitality</t>
  </si>
  <si>
    <t>Lessee</t>
  </si>
  <si>
    <t>Lessor</t>
  </si>
  <si>
    <t>Seller</t>
  </si>
  <si>
    <t>Buyer</t>
  </si>
  <si>
    <t>Procurring Agent</t>
  </si>
  <si>
    <t>Listing Agent</t>
  </si>
  <si>
    <t>Other - fill out below</t>
  </si>
  <si>
    <t>Procurring/Listing</t>
  </si>
  <si>
    <t>Yes #1</t>
  </si>
  <si>
    <t xml:space="preserve">No </t>
  </si>
  <si>
    <t>Yes #2</t>
  </si>
  <si>
    <t>Brick</t>
  </si>
  <si>
    <t>Block</t>
  </si>
  <si>
    <t>CTU</t>
  </si>
  <si>
    <t>Metal</t>
  </si>
  <si>
    <t>Wood/Stucco</t>
  </si>
  <si>
    <t>Concrete</t>
  </si>
  <si>
    <t>Vacant</t>
  </si>
  <si>
    <t>Occupied</t>
  </si>
  <si>
    <t>Under Construction</t>
  </si>
  <si>
    <t>Automotive</t>
  </si>
  <si>
    <t>Flex</t>
  </si>
  <si>
    <t>Ind. Manu.</t>
  </si>
  <si>
    <t>Medical Office</t>
  </si>
  <si>
    <t>R&amp;D</t>
  </si>
  <si>
    <t xml:space="preserve">Owner </t>
  </si>
  <si>
    <t>Tenant</t>
  </si>
  <si>
    <t>Freestanding</t>
  </si>
  <si>
    <t>POL Bldg</t>
  </si>
  <si>
    <t>Multi-tenant</t>
  </si>
  <si>
    <t>Condo</t>
  </si>
  <si>
    <t>Please Enter City</t>
  </si>
  <si>
    <t>Flourescent</t>
  </si>
  <si>
    <t>Foil</t>
  </si>
  <si>
    <t>Halogen</t>
  </si>
  <si>
    <t>Recessed Skylights</t>
  </si>
  <si>
    <t>Track &amp; Florescent</t>
  </si>
  <si>
    <t>Active</t>
  </si>
  <si>
    <t>Available</t>
  </si>
  <si>
    <t>Installed</t>
  </si>
  <si>
    <t>Unavailable</t>
  </si>
  <si>
    <t>YES</t>
  </si>
  <si>
    <t xml:space="preserve">NO </t>
  </si>
  <si>
    <t>Procurring</t>
  </si>
  <si>
    <t>Both</t>
  </si>
  <si>
    <t>Referring</t>
  </si>
  <si>
    <t>ADLER, FRANK</t>
  </si>
  <si>
    <t>AHERN, SEAN</t>
  </si>
  <si>
    <t>ARGUELLO, TIM</t>
  </si>
  <si>
    <t>BARNETT, CHRIS</t>
  </si>
  <si>
    <t>BARSON, BRIAN</t>
  </si>
  <si>
    <t>BOLT, DAVID</t>
  </si>
  <si>
    <t>CHRISTENSEN, MATT</t>
  </si>
  <si>
    <t>DUMKE, NICK</t>
  </si>
  <si>
    <t>DURKIN, MATT</t>
  </si>
  <si>
    <t>GARBUTT, BRIAN</t>
  </si>
  <si>
    <t>GOULD, KEN</t>
  </si>
  <si>
    <t>GRIFFIN, BOB</t>
  </si>
  <si>
    <t>HARRINGTON, CARTER</t>
  </si>
  <si>
    <t>HIRSCH, JEFF</t>
  </si>
  <si>
    <t>HOGAN, JACK</t>
  </si>
  <si>
    <t>KLUVER, DAVE</t>
  </si>
  <si>
    <t>LAWER, MATT</t>
  </si>
  <si>
    <t>LONG, MIKE</t>
  </si>
  <si>
    <t>MCARDELL, GARY</t>
  </si>
  <si>
    <t>MEJIA, JONATHAN</t>
  </si>
  <si>
    <t>SCHNEIDER, BRAD</t>
  </si>
  <si>
    <t>SHERRATT, ALEJANDRO</t>
  </si>
  <si>
    <t>SMITH, BRENDAN</t>
  </si>
  <si>
    <t>TOLAND, HAYDEN</t>
  </si>
  <si>
    <t>TOLAND, MILES</t>
  </si>
  <si>
    <t>TURNER, RICK</t>
  </si>
  <si>
    <t>WALKER, TIM</t>
  </si>
  <si>
    <t>WEST, THOMAS</t>
  </si>
  <si>
    <t>WINN, CHARLIE</t>
  </si>
  <si>
    <t>NO</t>
  </si>
  <si>
    <t>Lee &amp; Associates - Newport</t>
  </si>
  <si>
    <t>Ashwill - Orange</t>
  </si>
  <si>
    <t>Broadstreet Real Estate Group</t>
  </si>
  <si>
    <t>CBRE - Anaheim</t>
  </si>
  <si>
    <t>CBRE - Newport</t>
  </si>
  <si>
    <t>CNC Commerical Real Estate</t>
  </si>
  <si>
    <t>Colliers - Irvine</t>
  </si>
  <si>
    <t>Colliers - Ontario</t>
  </si>
  <si>
    <t>Cresa Partners</t>
  </si>
  <si>
    <t>Curtis &amp; Associates - Costa Mesa</t>
  </si>
  <si>
    <t>Cushman &amp; Wakefield - Irvine</t>
  </si>
  <si>
    <t>Cushman &amp; Wakefield - South Bay</t>
  </si>
  <si>
    <t>Cushman &amp; Wakefield - Ontario</t>
  </si>
  <si>
    <t>Daum - Anaheim</t>
  </si>
  <si>
    <t>Daum - Newport</t>
  </si>
  <si>
    <t>Guardian Commerical</t>
  </si>
  <si>
    <t>Hughes Marino</t>
  </si>
  <si>
    <t>Irvine Company - Irvine</t>
  </si>
  <si>
    <t>Jones Lang LaSalle</t>
  </si>
  <si>
    <t>Lee &amp; Associates - Calabasas</t>
  </si>
  <si>
    <t>Lee &amp; Associates - Carlsbad</t>
  </si>
  <si>
    <t>Lee &amp; Associates - Commerce</t>
  </si>
  <si>
    <t>Lee &amp; Associates - Industry</t>
  </si>
  <si>
    <t>Lee &amp; Associates - Irvine</t>
  </si>
  <si>
    <t>Lee &amp; Associates - ISG</t>
  </si>
  <si>
    <t>Lee &amp; Associates - Long Beach</t>
  </si>
  <si>
    <t>Lee &amp; Associates - Ontario</t>
  </si>
  <si>
    <t>Lee &amp; Associates - Orange</t>
  </si>
  <si>
    <t>Lee &amp; Associates - Palm Desert</t>
  </si>
  <si>
    <t>Lee &amp; Associates - Phoenix</t>
  </si>
  <si>
    <t>Lee &amp; Associates - Pleasanton</t>
  </si>
  <si>
    <t>Lee &amp; Associates - Riverside</t>
  </si>
  <si>
    <t>Lee &amp; Associates - Sherman Oaks</t>
  </si>
  <si>
    <t>Lee &amp; Associates - South Bay</t>
  </si>
  <si>
    <t>Lee &amp; Associates - LA West</t>
  </si>
  <si>
    <t>Lee &amp; Associates - Stockton</t>
  </si>
  <si>
    <t>Lee &amp; Associates - Temecula</t>
  </si>
  <si>
    <t>Lee &amp; Associates - Victorville</t>
  </si>
  <si>
    <t xml:space="preserve">NAI Capital - Newport </t>
  </si>
  <si>
    <t>Newmark-Knight Frank - Newport Beach (Formerly Grubb)</t>
  </si>
  <si>
    <t>Orion Properties</t>
  </si>
  <si>
    <t xml:space="preserve">PRES - Newport </t>
  </si>
  <si>
    <t>Southwest Commerical</t>
  </si>
  <si>
    <t>Stream Realty</t>
  </si>
  <si>
    <t>Voit - Anaheim</t>
  </si>
  <si>
    <t>Voit - Irvine</t>
  </si>
  <si>
    <t>User</t>
  </si>
  <si>
    <t>Investor</t>
  </si>
  <si>
    <t>Developer</t>
  </si>
  <si>
    <t>Surface</t>
  </si>
  <si>
    <t>Subterranean</t>
  </si>
  <si>
    <t>Sructured</t>
  </si>
  <si>
    <t>CLOSE</t>
  </si>
  <si>
    <t>KEEP OPEN</t>
  </si>
  <si>
    <t>No Listing Broker Co-op</t>
  </si>
  <si>
    <t>Yes</t>
  </si>
  <si>
    <t>No</t>
  </si>
  <si>
    <t>Direct - New</t>
  </si>
  <si>
    <t>Pre-Occupied</t>
  </si>
  <si>
    <t>New Shell</t>
  </si>
  <si>
    <t>Sublease</t>
  </si>
  <si>
    <t>New Deal</t>
  </si>
  <si>
    <t>Expansion</t>
  </si>
  <si>
    <t>Renewal</t>
  </si>
  <si>
    <t>Renew/Expand</t>
  </si>
  <si>
    <t>Build-to-suit</t>
  </si>
  <si>
    <t>Ground Lease</t>
  </si>
  <si>
    <t>P</t>
  </si>
  <si>
    <t>Passenger</t>
  </si>
  <si>
    <t>Frieght</t>
  </si>
  <si>
    <t>GESSFORD, JOHN</t>
  </si>
  <si>
    <t>GRIJALVA, JOHN</t>
  </si>
  <si>
    <t>HIETBRINK, JUDD</t>
  </si>
  <si>
    <t>MADIGAN, STEVE</t>
  </si>
  <si>
    <t>GESSFORD, LIBBY</t>
  </si>
  <si>
    <t>Multi-family</t>
  </si>
  <si>
    <t>Multi-Family</t>
  </si>
  <si>
    <t>MG</t>
  </si>
  <si>
    <t>GILLS, PITZER</t>
  </si>
  <si>
    <t>RAZAZ, NIMA</t>
  </si>
  <si>
    <t>ZACHER, SHANNON</t>
  </si>
  <si>
    <t>DAVIDSON, ETHAN</t>
  </si>
  <si>
    <t>ZACHER, MADDIE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</si>
</sst>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164" formatCode="\ \ \ "/>
    <numFmt numFmtId="165" formatCode="[&lt;=9999999]###\-####;\(###\)\ ###\-####"/>
    <numFmt numFmtId="166" formatCode="_(* #,##0_);_(* \(#,##0\);_(* &quot;-&quot;??_);_(@_)"/>
    <numFmt numFmtId="167" formatCode="_(&quot;$&quot;* #,##0_);_(&quot;$&quot;* \(#,##0\);_(&quot;$&quot;* &quot;-&quot;??_);_(@_)"/>
    <numFmt numFmtId="168" formatCode="0.0"/>
    <numFmt numFmtId="169" formatCode="&quot;$&quot;#,##0.0000"/>
    <numFmt numFmtId="170" formatCode="&quot;$&quot;#,##0.00"/>
    <numFmt numFmtId="171" formatCode="0.0000000%"/>
    <numFmt numFmtId="172" formatCode="00000"/>
    <numFmt numFmtId="173" formatCode="0.00000"/>
    <numFmt numFmtId="174" formatCode="&quot;$&quot;#,##0.00000"/>
    <numFmt numFmtId="175" formatCode="mm/dd/yy"/>
  </numFmts>
  <fonts count="104" x14ac:knownFonts="1">
    <font>
      <sz val="10"/>
      <color rgb="FF000000"/>
      <name val="Arial"/>
      <scheme val="minor"/>
    </font>
    <font>
      <b/>
      <sz val="14"/>
      <color rgb="FF500050"/>
      <name val="Times New Roman"/>
      <family val="1"/>
    </font>
    <font>
      <sz val="10"/>
      <name val="Arial"/>
      <family val="2"/>
    </font>
    <font>
      <b/>
      <sz val="14"/>
      <color rgb="FFFF0000"/>
      <name val="Times New Roman"/>
      <family val="1"/>
    </font>
    <font>
      <b/>
      <sz val="12"/>
      <color rgb="FFFF0000"/>
      <name val="Arial"/>
      <family val="2"/>
    </font>
    <font>
      <b/>
      <sz val="10"/>
      <color rgb="FF452103"/>
      <name val="Arial"/>
      <family val="2"/>
    </font>
    <font>
      <sz val="8"/>
      <color theme="1"/>
      <name val="Arial"/>
      <family val="2"/>
    </font>
    <font>
      <sz val="8"/>
      <color rgb="FF004274"/>
      <name val="Arial"/>
      <family val="2"/>
    </font>
    <font>
      <b/>
      <sz val="9"/>
      <color rgb="FF002948"/>
      <name val="Arial"/>
      <family val="2"/>
    </font>
    <font>
      <b/>
      <sz val="8"/>
      <color rgb="FF002948"/>
      <name val="Arial"/>
      <family val="2"/>
    </font>
    <font>
      <i/>
      <sz val="8"/>
      <color rgb="FF002948"/>
      <name val="Arial"/>
      <family val="2"/>
    </font>
    <font>
      <sz val="8"/>
      <color rgb="FF002948"/>
      <name val="Arial"/>
      <family val="2"/>
    </font>
    <font>
      <b/>
      <sz val="9"/>
      <color rgb="FF0F243E"/>
      <name val="Arial"/>
      <family val="2"/>
    </font>
    <font>
      <b/>
      <sz val="10"/>
      <color rgb="FF002948"/>
      <name val="Arial"/>
      <family val="2"/>
    </font>
    <font>
      <b/>
      <sz val="10"/>
      <color rgb="FF0F243E"/>
      <name val="Arial"/>
      <family val="2"/>
    </font>
    <font>
      <b/>
      <i/>
      <sz val="9"/>
      <color rgb="FF0F243E"/>
      <name val="Arial"/>
      <family val="2"/>
    </font>
    <font>
      <sz val="10"/>
      <color rgb="FF002948"/>
      <name val="Arial"/>
      <family val="2"/>
    </font>
    <font>
      <sz val="9"/>
      <color rgb="FF002948"/>
      <name val="Arial"/>
      <family val="2"/>
    </font>
    <font>
      <b/>
      <u/>
      <sz val="9"/>
      <color rgb="FF002948"/>
      <name val="Arial"/>
      <family val="2"/>
    </font>
    <font>
      <b/>
      <u/>
      <sz val="10"/>
      <color rgb="FF002948"/>
      <name val="Arial"/>
      <family val="2"/>
    </font>
    <font>
      <b/>
      <sz val="12"/>
      <color rgb="FF333333"/>
      <name val="Times New Roman"/>
      <family val="1"/>
    </font>
    <font>
      <sz val="9"/>
      <color rgb="FF333333"/>
      <name val="Arial"/>
      <family val="2"/>
    </font>
    <font>
      <sz val="8"/>
      <color rgb="FF333333"/>
      <name val="Arial"/>
      <family val="2"/>
    </font>
    <font>
      <b/>
      <sz val="9"/>
      <color rgb="FF333333"/>
      <name val="Arial"/>
      <family val="2"/>
    </font>
    <font>
      <sz val="9"/>
      <color theme="1"/>
      <name val="Arial"/>
      <family val="2"/>
    </font>
    <font>
      <b/>
      <sz val="12"/>
      <color rgb="FF3F3151"/>
      <name val="Times New Roman"/>
      <family val="1"/>
    </font>
    <font>
      <sz val="10"/>
      <color theme="1"/>
      <name val="Arial"/>
      <family val="2"/>
    </font>
    <font>
      <b/>
      <sz val="9"/>
      <color rgb="FF260026"/>
      <name val="Arial"/>
      <family val="2"/>
    </font>
    <font>
      <sz val="9"/>
      <color rgb="FF260026"/>
      <name val="Arial"/>
      <family val="2"/>
    </font>
    <font>
      <b/>
      <sz val="9"/>
      <color rgb="FF800000"/>
      <name val="Arial"/>
      <family val="2"/>
    </font>
    <font>
      <sz val="8"/>
      <color rgb="FF260026"/>
      <name val="Arial"/>
      <family val="2"/>
    </font>
    <font>
      <u/>
      <sz val="9"/>
      <color rgb="FF260026"/>
      <name val="Arial"/>
      <family val="2"/>
    </font>
    <font>
      <b/>
      <u/>
      <sz val="9"/>
      <color rgb="FF260026"/>
      <name val="Arial"/>
      <family val="2"/>
    </font>
    <font>
      <b/>
      <sz val="10"/>
      <color rgb="FF3F3151"/>
      <name val="Arial"/>
      <family val="2"/>
    </font>
    <font>
      <sz val="9"/>
      <color rgb="FF500050"/>
      <name val="Arial"/>
      <family val="2"/>
    </font>
    <font>
      <b/>
      <sz val="8"/>
      <color rgb="FF3F3151"/>
      <name val="Arial"/>
      <family val="2"/>
    </font>
    <font>
      <b/>
      <sz val="9"/>
      <color rgb="FF500050"/>
      <name val="Arial"/>
      <family val="2"/>
    </font>
    <font>
      <b/>
      <i/>
      <sz val="8"/>
      <color rgb="FF3F3151"/>
      <name val="Arial"/>
      <family val="2"/>
    </font>
    <font>
      <sz val="10"/>
      <color rgb="FF260026"/>
      <name val="Arial"/>
      <family val="2"/>
    </font>
    <font>
      <b/>
      <i/>
      <sz val="9"/>
      <color rgb="FF260026"/>
      <name val="Arial"/>
      <family val="2"/>
    </font>
    <font>
      <b/>
      <sz val="8"/>
      <color rgb="FF260026"/>
      <name val="Arial"/>
      <family val="2"/>
    </font>
    <font>
      <b/>
      <sz val="8"/>
      <color theme="1"/>
      <name val="Arial"/>
      <family val="2"/>
    </font>
    <font>
      <b/>
      <sz val="10"/>
      <color rgb="FF260026"/>
      <name val="Arial"/>
      <family val="2"/>
    </font>
    <font>
      <b/>
      <i/>
      <sz val="9"/>
      <color rgb="FF800000"/>
      <name val="Arial"/>
      <family val="2"/>
    </font>
    <font>
      <b/>
      <sz val="10"/>
      <color rgb="FF8000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8"/>
      <color rgb="FF262626"/>
      <name val="Arial"/>
      <family val="2"/>
    </font>
    <font>
      <sz val="8"/>
      <color rgb="FF4D4D4D"/>
      <name val="Arial"/>
      <family val="2"/>
    </font>
    <font>
      <b/>
      <sz val="10"/>
      <color rgb="FF4D4D4D"/>
      <name val="Arial"/>
      <family val="2"/>
    </font>
    <font>
      <b/>
      <sz val="9"/>
      <color rgb="FFC00000"/>
      <name val="Arial"/>
      <family val="2"/>
    </font>
    <font>
      <b/>
      <sz val="11"/>
      <color rgb="FF512603"/>
      <name val="Times New Roman"/>
      <family val="1"/>
    </font>
    <font>
      <b/>
      <sz val="10"/>
      <color rgb="FF2E2A3A"/>
      <name val="Arial"/>
      <family val="2"/>
    </font>
    <font>
      <b/>
      <sz val="8"/>
      <color rgb="FF262626"/>
      <name val="Arial"/>
      <family val="2"/>
    </font>
    <font>
      <sz val="9"/>
      <color rgb="FF452103"/>
      <name val="Arial"/>
      <family val="2"/>
    </font>
    <font>
      <b/>
      <sz val="9"/>
      <color rgb="FF452103"/>
      <name val="Arial"/>
      <family val="2"/>
    </font>
    <font>
      <sz val="8"/>
      <color rgb="FF2E2A3A"/>
      <name val="Arial"/>
      <family val="2"/>
    </font>
    <font>
      <sz val="8"/>
      <color rgb="FF452103"/>
      <name val="Arial"/>
      <family val="2"/>
    </font>
    <font>
      <b/>
      <i/>
      <sz val="8"/>
      <color rgb="FFC00000"/>
      <name val="Arial"/>
      <family val="2"/>
    </font>
    <font>
      <sz val="8"/>
      <color rgb="FF974806"/>
      <name val="Arial"/>
      <family val="2"/>
    </font>
    <font>
      <sz val="8"/>
      <color rgb="FF341312"/>
      <name val="Arial"/>
      <family val="2"/>
    </font>
    <font>
      <b/>
      <sz val="8"/>
      <color rgb="FF974806"/>
      <name val="Arial"/>
      <family val="2"/>
    </font>
    <font>
      <b/>
      <sz val="12"/>
      <color rgb="FFC00000"/>
      <name val="Times New Roman"/>
      <family val="1"/>
    </font>
    <font>
      <sz val="12"/>
      <color theme="1"/>
      <name val="Arial"/>
      <family val="2"/>
    </font>
    <font>
      <sz val="9"/>
      <color rgb="FF1B391C"/>
      <name val="Arial"/>
      <family val="2"/>
    </font>
    <font>
      <b/>
      <sz val="9"/>
      <color rgb="FF1B391C"/>
      <name val="Arial"/>
      <family val="2"/>
    </font>
    <font>
      <i/>
      <sz val="9"/>
      <color rgb="FFC00000"/>
      <name val="Arial"/>
      <family val="2"/>
    </font>
    <font>
      <b/>
      <sz val="10"/>
      <color rgb="FFC00000"/>
      <name val="Arial"/>
      <family val="2"/>
    </font>
    <font>
      <sz val="8"/>
      <color rgb="FF232C12"/>
      <name val="Arial"/>
      <family val="2"/>
    </font>
    <font>
      <i/>
      <sz val="8"/>
      <color rgb="FFFF0000"/>
      <name val="Arial"/>
      <family val="2"/>
    </font>
    <font>
      <sz val="8"/>
      <color rgb="FF1B391C"/>
      <name val="Arial"/>
      <family val="2"/>
    </font>
    <font>
      <sz val="8"/>
      <color rgb="FF552525"/>
      <name val="Arial"/>
      <family val="2"/>
    </font>
    <font>
      <i/>
      <sz val="8"/>
      <color rgb="FF4F6128"/>
      <name val="Arial"/>
      <family val="2"/>
    </font>
    <font>
      <b/>
      <sz val="10"/>
      <color rgb="FF002060"/>
      <name val="Arial"/>
      <family val="2"/>
    </font>
    <font>
      <b/>
      <sz val="9"/>
      <color rgb="FF002060"/>
      <name val="Arial"/>
      <family val="2"/>
    </font>
    <font>
      <sz val="9"/>
      <color rgb="FF002060"/>
      <name val="Arial"/>
      <family val="2"/>
    </font>
    <font>
      <sz val="8"/>
      <color rgb="FF002060"/>
      <name val="Arial"/>
      <family val="2"/>
    </font>
    <font>
      <b/>
      <sz val="12"/>
      <color rgb="FF452103"/>
      <name val="Times New Roman"/>
      <family val="1"/>
    </font>
    <font>
      <b/>
      <sz val="10"/>
      <color rgb="FF292929"/>
      <name val="Arial"/>
      <family val="2"/>
    </font>
    <font>
      <b/>
      <sz val="10"/>
      <color rgb="FF381514"/>
      <name val="Arial"/>
      <family val="2"/>
    </font>
    <font>
      <b/>
      <sz val="14"/>
      <color theme="1"/>
      <name val="Arial"/>
      <family val="2"/>
    </font>
    <font>
      <b/>
      <sz val="11"/>
      <color rgb="FF260026"/>
      <name val="Arial"/>
      <family val="2"/>
    </font>
    <font>
      <sz val="8"/>
      <color rgb="FF2B2137"/>
      <name val="Arial"/>
      <family val="2"/>
    </font>
    <font>
      <sz val="7"/>
      <color rgb="FF2B2137"/>
      <name val="Arial"/>
      <family val="2"/>
    </font>
    <font>
      <b/>
      <sz val="8"/>
      <color rgb="FF2B2137"/>
      <name val="Arial"/>
      <family val="2"/>
    </font>
    <font>
      <b/>
      <sz val="7"/>
      <color rgb="FF2B2137"/>
      <name val="Arial"/>
      <family val="2"/>
    </font>
    <font>
      <sz val="7"/>
      <color theme="1"/>
      <name val="Arial"/>
      <family val="2"/>
    </font>
    <font>
      <b/>
      <sz val="10"/>
      <color rgb="FF2B2137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sz val="11"/>
      <color rgb="FF500050"/>
      <name val="Times New Roman"/>
      <family val="1"/>
    </font>
    <font>
      <b/>
      <i/>
      <sz val="10"/>
      <color rgb="FF800000"/>
      <name val="Arial"/>
      <family val="2"/>
    </font>
    <font>
      <i/>
      <sz val="9"/>
      <color rgb="FF800000"/>
      <name val="Arial"/>
      <family val="2"/>
    </font>
    <font>
      <sz val="12"/>
      <color rgb="FFC00000"/>
      <name val="Times New Roman"/>
      <family val="1"/>
    </font>
    <font>
      <b/>
      <i/>
      <sz val="8"/>
      <color rgb="FF4F6128"/>
      <name val="Arial"/>
      <family val="2"/>
    </font>
    <font>
      <b/>
      <sz val="8"/>
      <color rgb="FF333333"/>
      <name val="Arial"/>
      <family val="2"/>
    </font>
    <font>
      <b/>
      <i/>
      <sz val="8"/>
      <color rgb="FF333333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rgb="FF2E2A3A"/>
      <name val="Arial"/>
      <family val="2"/>
    </font>
    <font>
      <b/>
      <sz val="9"/>
      <name val="Arial"/>
      <family val="2"/>
    </font>
    <font>
      <sz val="6"/>
      <color rgb="FF244061"/>
      <name val="Arial"/>
      <family val="2"/>
    </font>
    <font>
      <b/>
      <i/>
      <u/>
      <sz val="8"/>
      <color rgb="FFFF0000"/>
      <name val="Arial"/>
      <family val="2"/>
    </font>
    <font>
      <b/>
      <sz val="10"/>
      <color rgb="FFFF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rgb="FFFFFFAB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65FFB2"/>
      </patternFill>
    </fill>
    <fill>
      <patternFill patternType="solid">
        <fgColor theme="0"/>
        <bgColor rgb="FFEFFBFF"/>
      </patternFill>
    </fill>
    <fill>
      <patternFill patternType="solid">
        <fgColor theme="0"/>
        <bgColor rgb="FF97E4FF"/>
      </patternFill>
    </fill>
    <fill>
      <patternFill patternType="solid">
        <fgColor theme="0"/>
        <bgColor rgb="FFFFF7F7"/>
      </patternFill>
    </fill>
    <fill>
      <patternFill patternType="solid">
        <fgColor theme="0"/>
        <bgColor rgb="FFE5FFF8"/>
      </patternFill>
    </fill>
    <fill>
      <patternFill patternType="solid">
        <fgColor theme="0"/>
        <bgColor rgb="FFE5F2FF"/>
      </patternFill>
    </fill>
    <fill>
      <patternFill patternType="solid">
        <fgColor theme="0"/>
        <bgColor rgb="FF9BFFE5"/>
      </patternFill>
    </fill>
    <fill>
      <patternFill patternType="solid">
        <fgColor theme="0"/>
        <bgColor rgb="FFB5A6CA"/>
      </patternFill>
    </fill>
    <fill>
      <patternFill patternType="solid">
        <fgColor theme="0"/>
        <bgColor rgb="FFF9A9F9"/>
      </patternFill>
    </fill>
    <fill>
      <patternFill patternType="solid">
        <fgColor theme="0"/>
        <bgColor rgb="FFEDEAF2"/>
      </patternFill>
    </fill>
    <fill>
      <patternFill patternType="solid">
        <fgColor theme="0"/>
        <bgColor rgb="FFFEF0FE"/>
      </patternFill>
    </fill>
    <fill>
      <patternFill patternType="solid">
        <fgColor theme="0"/>
        <bgColor rgb="FFE5DFEC"/>
      </patternFill>
    </fill>
    <fill>
      <patternFill patternType="solid">
        <fgColor theme="0"/>
        <bgColor rgb="FFFCCCFC"/>
      </patternFill>
    </fill>
    <fill>
      <patternFill patternType="solid">
        <fgColor theme="0"/>
        <bgColor rgb="FFCEC5DD"/>
      </patternFill>
    </fill>
    <fill>
      <patternFill patternType="solid">
        <fgColor theme="0"/>
        <bgColor rgb="FFEFECF4"/>
      </patternFill>
    </fill>
    <fill>
      <patternFill patternType="solid">
        <fgColor theme="0"/>
        <bgColor rgb="FFCCC0D9"/>
      </patternFill>
    </fill>
    <fill>
      <patternFill patternType="solid">
        <fgColor theme="0"/>
        <bgColor rgb="FFFBBDFB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FBFAFC"/>
      </patternFill>
    </fill>
    <fill>
      <patternFill patternType="solid">
        <fgColor theme="0"/>
        <bgColor rgb="FFFABF8F"/>
      </patternFill>
    </fill>
    <fill>
      <patternFill patternType="solid">
        <fgColor theme="0"/>
        <bgColor rgb="FFFEF9F4"/>
      </patternFill>
    </fill>
    <fill>
      <patternFill patternType="solid">
        <fgColor theme="0"/>
        <bgColor rgb="FFBDFFFF"/>
      </patternFill>
    </fill>
    <fill>
      <patternFill patternType="solid">
        <fgColor theme="0"/>
        <bgColor rgb="FFDAEEF3"/>
      </patternFill>
    </fill>
    <fill>
      <patternFill patternType="solid">
        <fgColor theme="0"/>
        <bgColor rgb="FFF3F9FB"/>
      </patternFill>
    </fill>
    <fill>
      <patternFill patternType="solid">
        <fgColor theme="0"/>
        <bgColor rgb="FFDBE5F1"/>
      </patternFill>
    </fill>
    <fill>
      <patternFill patternType="solid">
        <fgColor theme="0"/>
        <bgColor rgb="FFF9FCFD"/>
      </patternFill>
    </fill>
    <fill>
      <patternFill patternType="solid">
        <fgColor theme="0"/>
        <bgColor rgb="FFFEF4FE"/>
      </patternFill>
    </fill>
    <fill>
      <patternFill patternType="solid">
        <fgColor theme="0"/>
        <bgColor rgb="FFF0D5D4"/>
      </patternFill>
    </fill>
    <fill>
      <patternFill patternType="solid">
        <fgColor theme="0"/>
        <bgColor rgb="FFFDF9F9"/>
      </patternFill>
    </fill>
    <fill>
      <patternFill patternType="solid">
        <fgColor theme="0"/>
        <bgColor rgb="FFD6E1BD"/>
      </patternFill>
    </fill>
    <fill>
      <patternFill patternType="solid">
        <fgColor theme="0"/>
        <bgColor rgb="FFFAF0F0"/>
      </patternFill>
    </fill>
    <fill>
      <patternFill patternType="solid">
        <fgColor theme="0"/>
        <bgColor rgb="FFF2DBDB"/>
      </patternFill>
    </fill>
    <fill>
      <patternFill patternType="solid">
        <fgColor theme="6" tint="0.59999389629810485"/>
        <bgColor rgb="FF97E4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DDF6FF"/>
      </patternFill>
    </fill>
    <fill>
      <patternFill patternType="solid">
        <fgColor theme="6" tint="0.59999389629810485"/>
        <bgColor rgb="FF93E3FF"/>
      </patternFill>
    </fill>
    <fill>
      <patternFill patternType="solid">
        <fgColor theme="6" tint="0.59999389629810485"/>
        <bgColor rgb="FFC5F0FF"/>
      </patternFill>
    </fill>
    <fill>
      <patternFill patternType="solid">
        <fgColor theme="6" tint="0.59999389629810485"/>
        <bgColor rgb="FFFFDDDD"/>
      </patternFill>
    </fill>
    <fill>
      <patternFill patternType="solid">
        <fgColor theme="6" tint="0.59999389629810485"/>
        <bgColor rgb="FFC9E4FF"/>
      </patternFill>
    </fill>
    <fill>
      <patternFill patternType="solid">
        <fgColor theme="6" tint="0.59999389629810485"/>
        <bgColor rgb="FFE5B8B7"/>
      </patternFill>
    </fill>
    <fill>
      <patternFill patternType="solid">
        <fgColor theme="6" tint="0.59999389629810485"/>
        <bgColor rgb="FF9BFFE5"/>
      </patternFill>
    </fill>
    <fill>
      <patternFill patternType="solid">
        <fgColor theme="6" tint="0.59999389629810485"/>
        <bgColor rgb="FFB2A1C7"/>
      </patternFill>
    </fill>
    <fill>
      <patternFill patternType="solid">
        <fgColor theme="6" tint="0.59999389629810485"/>
        <bgColor rgb="FFFCCCFC"/>
      </patternFill>
    </fill>
    <fill>
      <patternFill patternType="solid">
        <fgColor theme="6" tint="0.59999389629810485"/>
        <bgColor rgb="FFCEC5DD"/>
      </patternFill>
    </fill>
    <fill>
      <patternFill patternType="solid">
        <fgColor theme="6" tint="0.59999389629810485"/>
        <bgColor rgb="FF65FFB2"/>
      </patternFill>
    </fill>
    <fill>
      <patternFill patternType="solid">
        <fgColor theme="6" tint="0.59999389629810485"/>
        <bgColor rgb="FFEDEAF2"/>
      </patternFill>
    </fill>
    <fill>
      <patternFill patternType="solid">
        <fgColor theme="6" tint="0.59999389629810485"/>
        <bgColor rgb="FFFABF8F"/>
      </patternFill>
    </fill>
    <fill>
      <patternFill patternType="solid">
        <fgColor theme="6" tint="0.59999389629810485"/>
        <bgColor rgb="FFFDE9D9"/>
      </patternFill>
    </fill>
    <fill>
      <patternFill patternType="solid">
        <fgColor theme="6" tint="0.59999389629810485"/>
        <bgColor rgb="FFFEF9F4"/>
      </patternFill>
    </fill>
    <fill>
      <patternFill patternType="solid">
        <fgColor theme="6" tint="0.59999389629810485"/>
        <bgColor rgb="FFDBE5F1"/>
      </patternFill>
    </fill>
    <fill>
      <patternFill patternType="solid">
        <fgColor theme="6" tint="0.59999389629810485"/>
        <bgColor rgb="FFB8CCE4"/>
      </patternFill>
    </fill>
    <fill>
      <patternFill patternType="solid">
        <fgColor theme="6" tint="0.59999389629810485"/>
        <bgColor rgb="FFF9A9F9"/>
      </patternFill>
    </fill>
    <fill>
      <patternFill patternType="solid">
        <fgColor theme="6" tint="0.59999389629810485"/>
        <bgColor rgb="FFF0D5D4"/>
      </patternFill>
    </fill>
    <fill>
      <patternFill patternType="solid">
        <fgColor theme="6" tint="0.59999389629810485"/>
        <bgColor rgb="FFFDF9F9"/>
      </patternFill>
    </fill>
  </fills>
  <borders count="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3">
    <xf numFmtId="0" fontId="0" fillId="0" borderId="0" xfId="0"/>
    <xf numFmtId="0" fontId="1" fillId="2" borderId="45" xfId="0" applyFont="1" applyFill="1" applyBorder="1" applyAlignment="1">
      <alignment vertical="center"/>
    </xf>
    <xf numFmtId="0" fontId="5" fillId="3" borderId="45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1" fillId="2" borderId="4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8" fillId="5" borderId="26" xfId="0" applyFont="1" applyFill="1" applyBorder="1" applyAlignment="1">
      <alignment horizontal="right" vertical="center"/>
    </xf>
    <xf numFmtId="164" fontId="8" fillId="6" borderId="3" xfId="0" applyNumberFormat="1" applyFont="1" applyFill="1" applyBorder="1" applyAlignment="1" applyProtection="1">
      <alignment horizontal="center" vertical="center"/>
      <protection locked="0"/>
    </xf>
    <xf numFmtId="164" fontId="8" fillId="6" borderId="53" xfId="0" applyNumberFormat="1" applyFont="1" applyFill="1" applyBorder="1" applyAlignment="1" applyProtection="1">
      <alignment horizontal="center" vertical="center"/>
      <protection locked="0"/>
    </xf>
    <xf numFmtId="0" fontId="9" fillId="5" borderId="47" xfId="0" applyFont="1" applyFill="1" applyBorder="1" applyAlignment="1">
      <alignment horizontal="center" vertical="center"/>
    </xf>
    <xf numFmtId="0" fontId="11" fillId="5" borderId="39" xfId="0" applyFont="1" applyFill="1" applyBorder="1" applyAlignment="1">
      <alignment vertical="center"/>
    </xf>
    <xf numFmtId="0" fontId="9" fillId="5" borderId="26" xfId="0" applyFont="1" applyFill="1" applyBorder="1" applyAlignment="1">
      <alignment horizontal="center" vertical="center"/>
    </xf>
    <xf numFmtId="0" fontId="12" fillId="6" borderId="54" xfId="0" applyFont="1" applyFill="1" applyBorder="1" applyAlignment="1">
      <alignment horizontal="center"/>
    </xf>
    <xf numFmtId="0" fontId="13" fillId="5" borderId="47" xfId="0" applyFont="1" applyFill="1" applyBorder="1" applyAlignment="1">
      <alignment horizontal="right" vertical="center" wrapText="1"/>
    </xf>
    <xf numFmtId="0" fontId="13" fillId="5" borderId="26" xfId="0" applyFont="1" applyFill="1" applyBorder="1" applyAlignment="1">
      <alignment horizontal="right" vertical="center" wrapText="1"/>
    </xf>
    <xf numFmtId="0" fontId="13" fillId="5" borderId="26" xfId="0" applyFont="1" applyFill="1" applyBorder="1" applyAlignment="1">
      <alignment horizontal="right" vertical="center"/>
    </xf>
    <xf numFmtId="0" fontId="8" fillId="5" borderId="47" xfId="0" applyFont="1" applyFill="1" applyBorder="1" applyAlignment="1">
      <alignment horizontal="right" vertical="center" wrapText="1"/>
    </xf>
    <xf numFmtId="0" fontId="11" fillId="5" borderId="26" xfId="0" applyFont="1" applyFill="1" applyBorder="1" applyAlignment="1">
      <alignment vertical="center"/>
    </xf>
    <xf numFmtId="0" fontId="9" fillId="5" borderId="26" xfId="0" applyFont="1" applyFill="1" applyBorder="1" applyAlignment="1">
      <alignment horizontal="right" vertical="center"/>
    </xf>
    <xf numFmtId="0" fontId="17" fillId="5" borderId="26" xfId="0" applyFont="1" applyFill="1" applyBorder="1" applyAlignment="1">
      <alignment horizontal="right" vertical="center"/>
    </xf>
    <xf numFmtId="0" fontId="11" fillId="5" borderId="26" xfId="0" applyFont="1" applyFill="1" applyBorder="1" applyAlignment="1">
      <alignment horizontal="right" vertical="center"/>
    </xf>
    <xf numFmtId="0" fontId="21" fillId="7" borderId="47" xfId="0" applyFont="1" applyFill="1" applyBorder="1" applyAlignment="1">
      <alignment horizontal="right" vertical="center"/>
    </xf>
    <xf numFmtId="0" fontId="21" fillId="8" borderId="28" xfId="0" applyFont="1" applyFill="1" applyBorder="1" applyAlignment="1">
      <alignment horizontal="right" vertical="center"/>
    </xf>
    <xf numFmtId="0" fontId="21" fillId="8" borderId="40" xfId="0" applyFont="1" applyFill="1" applyBorder="1" applyAlignment="1">
      <alignment horizontal="right" vertical="center"/>
    </xf>
    <xf numFmtId="0" fontId="21" fillId="8" borderId="39" xfId="0" applyFont="1" applyFill="1" applyBorder="1" applyAlignment="1">
      <alignment vertical="center"/>
    </xf>
    <xf numFmtId="0" fontId="24" fillId="3" borderId="0" xfId="0" applyFont="1" applyFill="1" applyAlignment="1">
      <alignment vertical="center"/>
    </xf>
    <xf numFmtId="0" fontId="0" fillId="3" borderId="47" xfId="0" applyFill="1" applyBorder="1"/>
    <xf numFmtId="0" fontId="21" fillId="9" borderId="47" xfId="0" applyFont="1" applyFill="1" applyBorder="1" applyAlignment="1">
      <alignment horizontal="center" vertical="center"/>
    </xf>
    <xf numFmtId="0" fontId="21" fillId="9" borderId="47" xfId="0" applyFont="1" applyFill="1" applyBorder="1" applyAlignment="1">
      <alignment horizontal="right" vertical="center"/>
    </xf>
    <xf numFmtId="0" fontId="21" fillId="8" borderId="47" xfId="0" applyFont="1" applyFill="1" applyBorder="1" applyAlignment="1">
      <alignment horizontal="right" vertical="center"/>
    </xf>
    <xf numFmtId="0" fontId="21" fillId="8" borderId="26" xfId="0" applyFont="1" applyFill="1" applyBorder="1" applyAlignment="1">
      <alignment horizontal="right" vertical="center"/>
    </xf>
    <xf numFmtId="0" fontId="21" fillId="8" borderId="26" xfId="0" applyFont="1" applyFill="1" applyBorder="1" applyAlignment="1">
      <alignment horizontal="right"/>
    </xf>
    <xf numFmtId="0" fontId="2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8" fillId="13" borderId="47" xfId="0" applyFont="1" applyFill="1" applyBorder="1" applyAlignment="1">
      <alignment vertical="center"/>
    </xf>
    <xf numFmtId="0" fontId="27" fillId="13" borderId="26" xfId="0" applyFont="1" applyFill="1" applyBorder="1" applyAlignment="1">
      <alignment horizontal="right" vertical="center"/>
    </xf>
    <xf numFmtId="37" fontId="27" fillId="15" borderId="3" xfId="0" applyNumberFormat="1" applyFont="1" applyFill="1" applyBorder="1" applyAlignment="1">
      <alignment horizontal="center" vertical="center"/>
    </xf>
    <xf numFmtId="0" fontId="28" fillId="14" borderId="24" xfId="0" applyFont="1" applyFill="1" applyBorder="1" applyAlignment="1">
      <alignment horizontal="right" vertical="center"/>
    </xf>
    <xf numFmtId="0" fontId="28" fillId="14" borderId="26" xfId="0" applyFont="1" applyFill="1" applyBorder="1" applyAlignment="1">
      <alignment horizontal="right" vertical="center"/>
    </xf>
    <xf numFmtId="0" fontId="28" fillId="13" borderId="26" xfId="0" applyFont="1" applyFill="1" applyBorder="1" applyAlignment="1">
      <alignment horizontal="center"/>
    </xf>
    <xf numFmtId="0" fontId="28" fillId="13" borderId="26" xfId="0" applyFont="1" applyFill="1" applyBorder="1"/>
    <xf numFmtId="168" fontId="6" fillId="3" borderId="0" xfId="0" applyNumberFormat="1" applyFont="1" applyFill="1" applyAlignment="1">
      <alignment vertical="center"/>
    </xf>
    <xf numFmtId="0" fontId="28" fillId="13" borderId="26" xfId="0" applyFont="1" applyFill="1" applyBorder="1" applyAlignment="1">
      <alignment horizontal="center" vertical="center"/>
    </xf>
    <xf numFmtId="168" fontId="29" fillId="4" borderId="3" xfId="0" applyNumberFormat="1" applyFont="1" applyFill="1" applyBorder="1" applyAlignment="1">
      <alignment horizontal="center" vertical="center"/>
    </xf>
    <xf numFmtId="0" fontId="28" fillId="13" borderId="26" xfId="0" applyFont="1" applyFill="1" applyBorder="1" applyAlignment="1">
      <alignment vertical="center"/>
    </xf>
    <xf numFmtId="0" fontId="28" fillId="14" borderId="39" xfId="0" applyFont="1" applyFill="1" applyBorder="1" applyAlignment="1">
      <alignment horizontal="right" vertical="center"/>
    </xf>
    <xf numFmtId="0" fontId="28" fillId="13" borderId="26" xfId="0" applyFont="1" applyFill="1" applyBorder="1" applyAlignment="1">
      <alignment horizontal="right" vertical="center"/>
    </xf>
    <xf numFmtId="0" fontId="28" fillId="13" borderId="9" xfId="0" applyFont="1" applyFill="1" applyBorder="1" applyAlignment="1">
      <alignment vertical="center"/>
    </xf>
    <xf numFmtId="0" fontId="6" fillId="3" borderId="0" xfId="0" quotePrefix="1" applyFont="1" applyFill="1" applyAlignment="1">
      <alignment vertical="center"/>
    </xf>
    <xf numFmtId="0" fontId="27" fillId="13" borderId="26" xfId="0" applyFont="1" applyFill="1" applyBorder="1" applyAlignment="1">
      <alignment vertical="center"/>
    </xf>
    <xf numFmtId="0" fontId="31" fillId="13" borderId="26" xfId="0" applyFont="1" applyFill="1" applyBorder="1" applyAlignment="1">
      <alignment vertical="center"/>
    </xf>
    <xf numFmtId="0" fontId="31" fillId="13" borderId="26" xfId="0" applyFont="1" applyFill="1" applyBorder="1" applyAlignment="1">
      <alignment horizontal="right" vertical="center"/>
    </xf>
    <xf numFmtId="0" fontId="30" fillId="13" borderId="26" xfId="0" applyFont="1" applyFill="1" applyBorder="1" applyAlignment="1">
      <alignment horizontal="right" vertical="center"/>
    </xf>
    <xf numFmtId="0" fontId="34" fillId="13" borderId="47" xfId="0" applyFont="1" applyFill="1" applyBorder="1" applyAlignment="1">
      <alignment horizontal="right" vertical="center"/>
    </xf>
    <xf numFmtId="0" fontId="23" fillId="18" borderId="26" xfId="0" applyFont="1" applyFill="1" applyBorder="1" applyAlignment="1">
      <alignment vertical="center"/>
    </xf>
    <xf numFmtId="0" fontId="35" fillId="18" borderId="26" xfId="0" applyFont="1" applyFill="1" applyBorder="1" applyAlignment="1">
      <alignment horizontal="right" vertical="center"/>
    </xf>
    <xf numFmtId="0" fontId="28" fillId="14" borderId="24" xfId="0" applyFont="1" applyFill="1" applyBorder="1" applyAlignment="1">
      <alignment vertical="center" wrapText="1"/>
    </xf>
    <xf numFmtId="10" fontId="41" fillId="3" borderId="0" xfId="0" applyNumberFormat="1" applyFont="1" applyFill="1" applyAlignment="1">
      <alignment horizontal="center" vertical="center"/>
    </xf>
    <xf numFmtId="0" fontId="42" fillId="15" borderId="16" xfId="0" applyFont="1" applyFill="1" applyBorder="1" applyAlignment="1">
      <alignment horizontal="center"/>
    </xf>
    <xf numFmtId="10" fontId="42" fillId="17" borderId="17" xfId="0" applyNumberFormat="1" applyFont="1" applyFill="1" applyBorder="1" applyAlignment="1">
      <alignment horizontal="center"/>
    </xf>
    <xf numFmtId="0" fontId="45" fillId="3" borderId="0" xfId="0" applyFont="1" applyFill="1" applyAlignment="1">
      <alignment vertical="center"/>
    </xf>
    <xf numFmtId="0" fontId="27" fillId="13" borderId="30" xfId="0" applyFont="1" applyFill="1" applyBorder="1" applyAlignment="1">
      <alignment vertical="center"/>
    </xf>
    <xf numFmtId="0" fontId="27" fillId="15" borderId="26" xfId="0" applyFont="1" applyFill="1" applyBorder="1" applyAlignment="1">
      <alignment horizontal="right" vertical="center"/>
    </xf>
    <xf numFmtId="0" fontId="41" fillId="3" borderId="0" xfId="0" applyFont="1" applyFill="1" applyAlignment="1">
      <alignment vertical="center"/>
    </xf>
    <xf numFmtId="0" fontId="42" fillId="13" borderId="47" xfId="0" applyFont="1" applyFill="1" applyBorder="1" applyAlignment="1">
      <alignment horizontal="center" vertical="center"/>
    </xf>
    <xf numFmtId="0" fontId="42" fillId="13" borderId="26" xfId="0" applyFont="1" applyFill="1" applyBorder="1" applyAlignment="1">
      <alignment vertical="center"/>
    </xf>
    <xf numFmtId="0" fontId="42" fillId="13" borderId="28" xfId="0" applyFont="1" applyFill="1" applyBorder="1" applyAlignment="1">
      <alignment horizontal="right" vertical="center"/>
    </xf>
    <xf numFmtId="0" fontId="48" fillId="24" borderId="26" xfId="0" applyFont="1" applyFill="1" applyBorder="1" applyAlignment="1">
      <alignment vertical="center"/>
    </xf>
    <xf numFmtId="0" fontId="52" fillId="24" borderId="30" xfId="0" applyFont="1" applyFill="1" applyBorder="1" applyAlignment="1">
      <alignment vertical="center"/>
    </xf>
    <xf numFmtId="0" fontId="22" fillId="3" borderId="0" xfId="0" applyFont="1" applyFill="1" applyAlignment="1">
      <alignment vertical="center"/>
    </xf>
    <xf numFmtId="0" fontId="54" fillId="24" borderId="9" xfId="0" applyFont="1" applyFill="1" applyBorder="1" applyAlignment="1">
      <alignment horizontal="right" vertical="center"/>
    </xf>
    <xf numFmtId="0" fontId="57" fillId="24" borderId="26" xfId="0" applyFont="1" applyFill="1" applyBorder="1" applyAlignment="1">
      <alignment horizontal="left" vertical="center"/>
    </xf>
    <xf numFmtId="0" fontId="56" fillId="24" borderId="39" xfId="0" applyFont="1" applyFill="1" applyBorder="1" applyAlignment="1">
      <alignment vertical="center"/>
    </xf>
    <xf numFmtId="0" fontId="56" fillId="24" borderId="26" xfId="0" applyFont="1" applyFill="1" applyBorder="1" applyAlignment="1">
      <alignment vertical="center"/>
    </xf>
    <xf numFmtId="0" fontId="59" fillId="3" borderId="0" xfId="0" applyFont="1" applyFill="1" applyAlignment="1">
      <alignment vertical="center"/>
    </xf>
    <xf numFmtId="0" fontId="61" fillId="24" borderId="26" xfId="0" applyFont="1" applyFill="1" applyBorder="1" applyAlignment="1">
      <alignment horizontal="left" vertical="center"/>
    </xf>
    <xf numFmtId="0" fontId="61" fillId="24" borderId="9" xfId="0" applyFont="1" applyFill="1" applyBorder="1" applyAlignment="1">
      <alignment horizontal="left" vertical="center"/>
    </xf>
    <xf numFmtId="0" fontId="60" fillId="24" borderId="26" xfId="0" applyFont="1" applyFill="1" applyBorder="1" applyAlignment="1">
      <alignment horizontal="right" vertical="center"/>
    </xf>
    <xf numFmtId="0" fontId="61" fillId="24" borderId="39" xfId="0" applyFont="1" applyFill="1" applyBorder="1" applyAlignment="1">
      <alignment vertical="center"/>
    </xf>
    <xf numFmtId="0" fontId="6" fillId="24" borderId="48" xfId="0" applyFont="1" applyFill="1" applyBorder="1" applyAlignment="1">
      <alignment vertical="center"/>
    </xf>
    <xf numFmtId="0" fontId="6" fillId="24" borderId="4" xfId="0" applyFont="1" applyFill="1" applyBorder="1" applyAlignment="1">
      <alignment vertical="center"/>
    </xf>
    <xf numFmtId="0" fontId="6" fillId="24" borderId="22" xfId="0" applyFont="1" applyFill="1" applyBorder="1" applyAlignment="1">
      <alignment vertical="center"/>
    </xf>
    <xf numFmtId="0" fontId="63" fillId="3" borderId="0" xfId="0" applyFont="1" applyFill="1" applyAlignment="1">
      <alignment vertical="center"/>
    </xf>
    <xf numFmtId="0" fontId="69" fillId="27" borderId="26" xfId="0" applyFont="1" applyFill="1" applyBorder="1"/>
    <xf numFmtId="0" fontId="69" fillId="27" borderId="39" xfId="0" applyFont="1" applyFill="1" applyBorder="1"/>
    <xf numFmtId="0" fontId="68" fillId="27" borderId="47" xfId="0" applyFont="1" applyFill="1" applyBorder="1" applyAlignment="1">
      <alignment vertical="center"/>
    </xf>
    <xf numFmtId="0" fontId="70" fillId="27" borderId="26" xfId="0" applyFont="1" applyFill="1" applyBorder="1" applyAlignment="1">
      <alignment horizontal="right" vertical="center"/>
    </xf>
    <xf numFmtId="0" fontId="71" fillId="3" borderId="0" xfId="0" applyFont="1" applyFill="1" applyAlignment="1">
      <alignment vertical="center"/>
    </xf>
    <xf numFmtId="0" fontId="6" fillId="29" borderId="26" xfId="0" applyFont="1" applyFill="1" applyBorder="1" applyAlignment="1">
      <alignment vertical="center"/>
    </xf>
    <xf numFmtId="0" fontId="30" fillId="30" borderId="26" xfId="0" applyFont="1" applyFill="1" applyBorder="1" applyAlignment="1">
      <alignment horizontal="center"/>
    </xf>
    <xf numFmtId="0" fontId="30" fillId="30" borderId="39" xfId="0" applyFont="1" applyFill="1" applyBorder="1" applyAlignment="1">
      <alignment horizontal="center"/>
    </xf>
    <xf numFmtId="175" fontId="75" fillId="12" borderId="3" xfId="0" applyNumberFormat="1" applyFont="1" applyFill="1" applyBorder="1" applyAlignment="1" applyProtection="1">
      <alignment horizontal="center" vertical="center"/>
      <protection locked="0"/>
    </xf>
    <xf numFmtId="44" fontId="76" fillId="12" borderId="3" xfId="0" applyNumberFormat="1" applyFont="1" applyFill="1" applyBorder="1" applyAlignment="1" applyProtection="1">
      <alignment horizontal="center" vertical="center"/>
      <protection locked="0"/>
    </xf>
    <xf numFmtId="44" fontId="76" fillId="12" borderId="53" xfId="0" applyNumberFormat="1" applyFont="1" applyFill="1" applyBorder="1" applyAlignment="1" applyProtection="1">
      <alignment horizontal="center" vertical="center"/>
      <protection locked="0"/>
    </xf>
    <xf numFmtId="175" fontId="28" fillId="12" borderId="3" xfId="0" applyNumberFormat="1" applyFont="1" applyFill="1" applyBorder="1" applyAlignment="1" applyProtection="1">
      <alignment horizontal="center" vertical="center"/>
      <protection locked="0"/>
    </xf>
    <xf numFmtId="0" fontId="27" fillId="4" borderId="31" xfId="0" applyFont="1" applyFill="1" applyBorder="1" applyAlignment="1">
      <alignment horizontal="center"/>
    </xf>
    <xf numFmtId="0" fontId="27" fillId="4" borderId="34" xfId="0" applyFont="1" applyFill="1" applyBorder="1" applyAlignment="1">
      <alignment horizontal="center"/>
    </xf>
    <xf numFmtId="44" fontId="27" fillId="10" borderId="53" xfId="0" applyNumberFormat="1" applyFont="1" applyFill="1" applyBorder="1" applyAlignment="1">
      <alignment horizontal="center" vertical="center"/>
    </xf>
    <xf numFmtId="10" fontId="27" fillId="4" borderId="3" xfId="0" applyNumberFormat="1" applyFont="1" applyFill="1" applyBorder="1" applyAlignment="1">
      <alignment horizontal="center"/>
    </xf>
    <xf numFmtId="44" fontId="40" fillId="32" borderId="3" xfId="0" applyNumberFormat="1" applyFont="1" applyFill="1" applyBorder="1" applyAlignment="1">
      <alignment horizontal="center"/>
    </xf>
    <xf numFmtId="44" fontId="27" fillId="10" borderId="53" xfId="0" applyNumberFormat="1" applyFont="1" applyFill="1" applyBorder="1" applyAlignment="1">
      <alignment horizontal="center"/>
    </xf>
    <xf numFmtId="0" fontId="82" fillId="12" borderId="47" xfId="0" applyFont="1" applyFill="1" applyBorder="1" applyAlignment="1">
      <alignment vertical="center"/>
    </xf>
    <xf numFmtId="0" fontId="82" fillId="14" borderId="34" xfId="0" applyFont="1" applyFill="1" applyBorder="1" applyAlignment="1">
      <alignment horizontal="center"/>
    </xf>
    <xf numFmtId="44" fontId="82" fillId="12" borderId="26" xfId="0" applyNumberFormat="1" applyFont="1" applyFill="1" applyBorder="1"/>
    <xf numFmtId="44" fontId="82" fillId="14" borderId="3" xfId="0" applyNumberFormat="1" applyFont="1" applyFill="1" applyBorder="1"/>
    <xf numFmtId="0" fontId="82" fillId="12" borderId="26" xfId="0" applyFont="1" applyFill="1" applyBorder="1"/>
    <xf numFmtId="0" fontId="82" fillId="14" borderId="66" xfId="0" applyFont="1" applyFill="1" applyBorder="1" applyAlignment="1">
      <alignment horizontal="center"/>
    </xf>
    <xf numFmtId="44" fontId="82" fillId="14" borderId="34" xfId="0" applyNumberFormat="1" applyFont="1" applyFill="1" applyBorder="1" applyAlignment="1">
      <alignment vertical="center"/>
    </xf>
    <xf numFmtId="0" fontId="82" fillId="12" borderId="26" xfId="0" applyFont="1" applyFill="1" applyBorder="1" applyAlignment="1">
      <alignment vertical="center"/>
    </xf>
    <xf numFmtId="0" fontId="83" fillId="12" borderId="26" xfId="0" applyFont="1" applyFill="1" applyBorder="1" applyAlignment="1">
      <alignment vertical="center"/>
    </xf>
    <xf numFmtId="164" fontId="82" fillId="12" borderId="26" xfId="0" applyNumberFormat="1" applyFont="1" applyFill="1" applyBorder="1" applyAlignment="1">
      <alignment vertical="center"/>
    </xf>
    <xf numFmtId="44" fontId="84" fillId="14" borderId="34" xfId="0" applyNumberFormat="1" applyFont="1" applyFill="1" applyBorder="1" applyAlignment="1">
      <alignment vertical="center"/>
    </xf>
    <xf numFmtId="44" fontId="84" fillId="14" borderId="66" xfId="0" applyNumberFormat="1" applyFont="1" applyFill="1" applyBorder="1" applyAlignment="1">
      <alignment vertical="center"/>
    </xf>
    <xf numFmtId="9" fontId="83" fillId="14" borderId="3" xfId="0" applyNumberFormat="1" applyFont="1" applyFill="1" applyBorder="1" applyAlignment="1">
      <alignment horizontal="center"/>
    </xf>
    <xf numFmtId="0" fontId="83" fillId="14" borderId="3" xfId="0" applyFont="1" applyFill="1" applyBorder="1" applyAlignment="1">
      <alignment horizontal="center"/>
    </xf>
    <xf numFmtId="0" fontId="86" fillId="3" borderId="0" xfId="0" applyFont="1" applyFill="1" applyAlignment="1">
      <alignment vertical="center"/>
    </xf>
    <xf numFmtId="9" fontId="83" fillId="14" borderId="71" xfId="0" applyNumberFormat="1" applyFont="1" applyFill="1" applyBorder="1" applyAlignment="1">
      <alignment horizontal="center" vertical="center"/>
    </xf>
    <xf numFmtId="0" fontId="83" fillId="14" borderId="71" xfId="0" applyFont="1" applyFill="1" applyBorder="1" applyAlignment="1">
      <alignment horizontal="center" vertical="center"/>
    </xf>
    <xf numFmtId="44" fontId="6" fillId="3" borderId="0" xfId="0" applyNumberFormat="1" applyFont="1" applyFill="1" applyAlignment="1">
      <alignment vertical="center"/>
    </xf>
    <xf numFmtId="0" fontId="88" fillId="3" borderId="0" xfId="0" applyFont="1" applyFill="1" applyAlignment="1">
      <alignment vertical="center"/>
    </xf>
    <xf numFmtId="0" fontId="89" fillId="3" borderId="0" xfId="0" applyFont="1" applyFill="1" applyAlignment="1">
      <alignment vertical="center"/>
    </xf>
    <xf numFmtId="10" fontId="6" fillId="3" borderId="0" xfId="0" applyNumberFormat="1" applyFont="1" applyFill="1" applyAlignment="1">
      <alignment vertical="center"/>
    </xf>
    <xf numFmtId="0" fontId="8" fillId="36" borderId="3" xfId="0" applyFont="1" applyFill="1" applyBorder="1" applyAlignment="1" applyProtection="1">
      <alignment vertical="center"/>
      <protection locked="0"/>
    </xf>
    <xf numFmtId="0" fontId="15" fillId="38" borderId="53" xfId="0" applyFont="1" applyFill="1" applyBorder="1" applyAlignment="1" applyProtection="1">
      <alignment horizontal="center" vertical="center" wrapText="1"/>
      <protection locked="0"/>
    </xf>
    <xf numFmtId="0" fontId="8" fillId="40" borderId="54" xfId="0" applyFont="1" applyFill="1" applyBorder="1" applyAlignment="1" applyProtection="1">
      <alignment horizontal="left" vertical="center"/>
      <protection locked="0"/>
    </xf>
    <xf numFmtId="166" fontId="95" fillId="41" borderId="35" xfId="0" applyNumberFormat="1" applyFont="1" applyFill="1" applyBorder="1" applyAlignment="1" applyProtection="1">
      <alignment horizontal="center" vertical="center"/>
      <protection locked="0"/>
    </xf>
    <xf numFmtId="0" fontId="95" fillId="42" borderId="3" xfId="0" applyFont="1" applyFill="1" applyBorder="1" applyAlignment="1" applyProtection="1">
      <alignment horizontal="center" vertical="center"/>
      <protection locked="0"/>
    </xf>
    <xf numFmtId="49" fontId="95" fillId="43" borderId="3" xfId="0" applyNumberFormat="1" applyFont="1" applyFill="1" applyBorder="1" applyAlignment="1" applyProtection="1">
      <alignment horizontal="center" vertical="center"/>
      <protection locked="0"/>
    </xf>
    <xf numFmtId="0" fontId="95" fillId="42" borderId="35" xfId="0" applyFont="1" applyFill="1" applyBorder="1" applyAlignment="1" applyProtection="1">
      <alignment horizontal="center" vertical="center"/>
      <protection locked="0"/>
    </xf>
    <xf numFmtId="1" fontId="35" fillId="44" borderId="3" xfId="0" applyNumberFormat="1" applyFont="1" applyFill="1" applyBorder="1" applyAlignment="1" applyProtection="1">
      <alignment horizontal="center" vertical="center"/>
      <protection locked="0"/>
    </xf>
    <xf numFmtId="0" fontId="95" fillId="44" borderId="3" xfId="0" applyFont="1" applyFill="1" applyBorder="1" applyAlignment="1" applyProtection="1">
      <alignment horizontal="center" vertical="center"/>
      <protection locked="0"/>
    </xf>
    <xf numFmtId="0" fontId="95" fillId="43" borderId="3" xfId="0" applyFont="1" applyFill="1" applyBorder="1" applyAlignment="1" applyProtection="1">
      <alignment vertical="center"/>
      <protection locked="0"/>
    </xf>
    <xf numFmtId="49" fontId="95" fillId="41" borderId="35" xfId="0" applyNumberFormat="1" applyFont="1" applyFill="1" applyBorder="1" applyAlignment="1" applyProtection="1">
      <alignment horizontal="center" vertical="center"/>
      <protection locked="0"/>
    </xf>
    <xf numFmtId="166" fontId="95" fillId="41" borderId="3" xfId="0" applyNumberFormat="1" applyFont="1" applyFill="1" applyBorder="1" applyAlignment="1" applyProtection="1">
      <alignment horizontal="center" vertical="center"/>
      <protection locked="0"/>
    </xf>
    <xf numFmtId="49" fontId="95" fillId="42" borderId="3" xfId="0" applyNumberFormat="1" applyFont="1" applyFill="1" applyBorder="1" applyAlignment="1" applyProtection="1">
      <alignment horizontal="center" vertical="center"/>
      <protection locked="0"/>
    </xf>
    <xf numFmtId="167" fontId="95" fillId="42" borderId="35" xfId="0" applyNumberFormat="1" applyFont="1" applyFill="1" applyBorder="1" applyAlignment="1" applyProtection="1">
      <alignment horizontal="center" vertical="center"/>
      <protection locked="0"/>
    </xf>
    <xf numFmtId="1" fontId="95" fillId="44" borderId="3" xfId="0" applyNumberFormat="1" applyFont="1" applyFill="1" applyBorder="1" applyAlignment="1" applyProtection="1">
      <alignment horizontal="center" vertical="center"/>
      <protection locked="0"/>
    </xf>
    <xf numFmtId="1" fontId="95" fillId="42" borderId="35" xfId="0" applyNumberFormat="1" applyFont="1" applyFill="1" applyBorder="1" applyAlignment="1" applyProtection="1">
      <alignment horizontal="center" vertical="center"/>
      <protection locked="0"/>
    </xf>
    <xf numFmtId="0" fontId="95" fillId="41" borderId="3" xfId="0" applyFont="1" applyFill="1" applyBorder="1" applyAlignment="1" applyProtection="1">
      <alignment horizontal="center" vertical="center"/>
      <protection locked="0"/>
    </xf>
    <xf numFmtId="1" fontId="95" fillId="42" borderId="3" xfId="0" applyNumberFormat="1" applyFont="1" applyFill="1" applyBorder="1" applyAlignment="1" applyProtection="1">
      <alignment horizontal="center" vertical="center"/>
      <protection locked="0"/>
    </xf>
    <xf numFmtId="44" fontId="95" fillId="42" borderId="3" xfId="0" applyNumberFormat="1" applyFont="1" applyFill="1" applyBorder="1" applyAlignment="1" applyProtection="1">
      <alignment horizontal="center" vertical="center"/>
      <protection locked="0"/>
    </xf>
    <xf numFmtId="49" fontId="95" fillId="42" borderId="35" xfId="0" applyNumberFormat="1" applyFont="1" applyFill="1" applyBorder="1" applyAlignment="1" applyProtection="1">
      <alignment horizontal="center" vertical="center"/>
      <protection locked="0"/>
    </xf>
    <xf numFmtId="0" fontId="39" fillId="46" borderId="53" xfId="0" applyFont="1" applyFill="1" applyBorder="1" applyAlignment="1" applyProtection="1">
      <alignment horizontal="center" vertical="center" wrapText="1"/>
      <protection locked="0"/>
    </xf>
    <xf numFmtId="169" fontId="27" fillId="45" borderId="3" xfId="0" applyNumberFormat="1" applyFont="1" applyFill="1" applyBorder="1" applyAlignment="1" applyProtection="1">
      <alignment horizontal="center" vertical="center"/>
      <protection locked="0"/>
    </xf>
    <xf numFmtId="170" fontId="27" fillId="45" borderId="3" xfId="0" applyNumberFormat="1" applyFont="1" applyFill="1" applyBorder="1" applyAlignment="1" applyProtection="1">
      <alignment horizontal="center" vertical="center"/>
      <protection locked="0"/>
    </xf>
    <xf numFmtId="169" fontId="27" fillId="47" borderId="3" xfId="0" applyNumberFormat="1" applyFont="1" applyFill="1" applyBorder="1" applyAlignment="1" applyProtection="1">
      <alignment horizontal="center" vertical="center"/>
      <protection locked="0"/>
    </xf>
    <xf numFmtId="170" fontId="27" fillId="47" borderId="3" xfId="0" applyNumberFormat="1" applyFont="1" applyFill="1" applyBorder="1" applyAlignment="1" applyProtection="1">
      <alignment horizontal="center" vertical="center"/>
      <protection locked="0"/>
    </xf>
    <xf numFmtId="10" fontId="27" fillId="47" borderId="3" xfId="0" applyNumberFormat="1" applyFont="1" applyFill="1" applyBorder="1" applyAlignment="1" applyProtection="1">
      <alignment horizontal="center" vertical="center"/>
      <protection locked="0"/>
    </xf>
    <xf numFmtId="44" fontId="27" fillId="47" borderId="3" xfId="0" applyNumberFormat="1" applyFont="1" applyFill="1" applyBorder="1" applyAlignment="1" applyProtection="1">
      <alignment horizontal="center" vertical="center"/>
      <protection locked="0"/>
    </xf>
    <xf numFmtId="44" fontId="27" fillId="47" borderId="13" xfId="0" applyNumberFormat="1" applyFont="1" applyFill="1" applyBorder="1" applyAlignment="1" applyProtection="1">
      <alignment horizontal="center" vertical="center"/>
      <protection locked="0"/>
    </xf>
    <xf numFmtId="44" fontId="32" fillId="47" borderId="13" xfId="0" applyNumberFormat="1" applyFont="1" applyFill="1" applyBorder="1" applyAlignment="1" applyProtection="1">
      <alignment horizontal="center" vertical="center"/>
      <protection locked="0"/>
    </xf>
    <xf numFmtId="44" fontId="27" fillId="47" borderId="3" xfId="0" applyNumberFormat="1" applyFont="1" applyFill="1" applyBorder="1" applyAlignment="1">
      <alignment horizontal="center" vertical="center"/>
    </xf>
    <xf numFmtId="1" fontId="27" fillId="45" borderId="13" xfId="0" applyNumberFormat="1" applyFont="1" applyFill="1" applyBorder="1" applyAlignment="1" applyProtection="1">
      <alignment horizontal="center" vertical="center"/>
      <protection locked="0"/>
    </xf>
    <xf numFmtId="44" fontId="33" fillId="48" borderId="3" xfId="0" applyNumberFormat="1" applyFont="1" applyFill="1" applyBorder="1" applyAlignment="1">
      <alignment horizontal="center" vertical="center"/>
    </xf>
    <xf numFmtId="44" fontId="33" fillId="48" borderId="13" xfId="0" applyNumberFormat="1" applyFont="1" applyFill="1" applyBorder="1" applyAlignment="1">
      <alignment horizontal="center" vertical="center"/>
    </xf>
    <xf numFmtId="173" fontId="28" fillId="49" borderId="34" xfId="0" applyNumberFormat="1" applyFont="1" applyFill="1" applyBorder="1" applyAlignment="1">
      <alignment vertical="center"/>
    </xf>
    <xf numFmtId="10" fontId="28" fillId="47" borderId="34" xfId="0" applyNumberFormat="1" applyFont="1" applyFill="1" applyBorder="1" applyAlignment="1" applyProtection="1">
      <alignment horizontal="center" vertical="center"/>
      <protection locked="0"/>
    </xf>
    <xf numFmtId="0" fontId="49" fillId="48" borderId="3" xfId="0" applyFont="1" applyFill="1" applyBorder="1" applyAlignment="1" applyProtection="1">
      <alignment horizontal="center" vertical="center"/>
      <protection locked="0"/>
    </xf>
    <xf numFmtId="0" fontId="5" fillId="48" borderId="3" xfId="0" applyFont="1" applyFill="1" applyBorder="1" applyAlignment="1" applyProtection="1">
      <alignment horizontal="center" vertical="center"/>
      <protection locked="0"/>
    </xf>
    <xf numFmtId="0" fontId="55" fillId="51" borderId="31" xfId="0" applyFont="1" applyFill="1" applyBorder="1" applyAlignment="1" applyProtection="1">
      <alignment horizontal="left" vertical="center"/>
      <protection locked="0"/>
    </xf>
    <xf numFmtId="0" fontId="54" fillId="52" borderId="26" xfId="0" applyFont="1" applyFill="1" applyBorder="1" applyAlignment="1">
      <alignment horizontal="right" vertical="center"/>
    </xf>
    <xf numFmtId="0" fontId="5" fillId="48" borderId="53" xfId="0" applyFont="1" applyFill="1" applyBorder="1" applyAlignment="1" applyProtection="1">
      <alignment horizontal="center" vertical="center"/>
      <protection locked="0"/>
    </xf>
    <xf numFmtId="0" fontId="55" fillId="51" borderId="3" xfId="0" applyFont="1" applyFill="1" applyBorder="1" applyAlignment="1" applyProtection="1">
      <alignment vertical="center"/>
      <protection locked="0"/>
    </xf>
    <xf numFmtId="0" fontId="99" fillId="52" borderId="3" xfId="0" applyFont="1" applyFill="1" applyBorder="1" applyAlignment="1">
      <alignment horizontal="right" vertical="center"/>
    </xf>
    <xf numFmtId="0" fontId="27" fillId="44" borderId="3" xfId="0" applyFont="1" applyFill="1" applyBorder="1" applyAlignment="1" applyProtection="1">
      <alignment horizontal="right" vertical="center"/>
      <protection locked="0"/>
    </xf>
    <xf numFmtId="10" fontId="27" fillId="48" borderId="34" xfId="0" applyNumberFormat="1" applyFont="1" applyFill="1" applyBorder="1" applyAlignment="1" applyProtection="1">
      <alignment horizontal="center" vertical="center"/>
      <protection locked="0"/>
    </xf>
    <xf numFmtId="44" fontId="30" fillId="57" borderId="3" xfId="0" applyNumberFormat="1" applyFont="1" applyFill="1" applyBorder="1" applyAlignment="1">
      <alignment horizontal="center" vertical="center"/>
    </xf>
    <xf numFmtId="10" fontId="27" fillId="48" borderId="3" xfId="0" applyNumberFormat="1" applyFont="1" applyFill="1" applyBorder="1" applyAlignment="1" applyProtection="1">
      <alignment horizontal="center" vertical="center"/>
      <protection locked="0"/>
    </xf>
    <xf numFmtId="0" fontId="12" fillId="48" borderId="3" xfId="0" applyFont="1" applyFill="1" applyBorder="1" applyAlignment="1" applyProtection="1">
      <alignment horizontal="center" vertical="center"/>
      <protection locked="0"/>
    </xf>
    <xf numFmtId="0" fontId="15" fillId="48" borderId="53" xfId="0" applyFont="1" applyFill="1" applyBorder="1" applyAlignment="1" applyProtection="1">
      <alignment horizontal="center" vertical="center"/>
      <protection locked="0"/>
    </xf>
    <xf numFmtId="0" fontId="101" fillId="3" borderId="46" xfId="0" applyFont="1" applyFill="1" applyBorder="1" applyAlignment="1">
      <alignment horizontal="right" vertical="center"/>
    </xf>
    <xf numFmtId="14" fontId="101" fillId="3" borderId="49" xfId="0" applyNumberFormat="1" applyFont="1" applyFill="1" applyBorder="1" applyAlignment="1">
      <alignment vertical="center"/>
    </xf>
    <xf numFmtId="0" fontId="103" fillId="13" borderId="9" xfId="0" applyFont="1" applyFill="1" applyBorder="1" applyAlignment="1">
      <alignment vertical="center"/>
    </xf>
    <xf numFmtId="0" fontId="69" fillId="3" borderId="73" xfId="0" applyFont="1" applyFill="1" applyBorder="1" applyAlignment="1">
      <alignment horizontal="center" vertical="center" wrapText="1"/>
    </xf>
    <xf numFmtId="0" fontId="89" fillId="3" borderId="74" xfId="0" applyFont="1" applyFill="1" applyBorder="1" applyAlignment="1">
      <alignment horizontal="center" vertical="center" wrapText="1"/>
    </xf>
    <xf numFmtId="0" fontId="89" fillId="3" borderId="75" xfId="0" applyFont="1" applyFill="1" applyBorder="1" applyAlignment="1">
      <alignment horizontal="center" vertical="center" wrapText="1"/>
    </xf>
    <xf numFmtId="0" fontId="89" fillId="3" borderId="40" xfId="0" applyFont="1" applyFill="1" applyBorder="1" applyAlignment="1">
      <alignment horizontal="center" vertical="center" wrapText="1"/>
    </xf>
    <xf numFmtId="0" fontId="89" fillId="3" borderId="26" xfId="0" applyFont="1" applyFill="1" applyBorder="1" applyAlignment="1">
      <alignment horizontal="center" vertical="center" wrapText="1"/>
    </xf>
    <xf numFmtId="0" fontId="89" fillId="3" borderId="76" xfId="0" applyFont="1" applyFill="1" applyBorder="1" applyAlignment="1">
      <alignment horizontal="center" vertical="center" wrapText="1"/>
    </xf>
    <xf numFmtId="0" fontId="89" fillId="3" borderId="77" xfId="0" applyFont="1" applyFill="1" applyBorder="1" applyAlignment="1">
      <alignment horizontal="center" vertical="center" wrapText="1"/>
    </xf>
    <xf numFmtId="0" fontId="89" fillId="3" borderId="78" xfId="0" applyFont="1" applyFill="1" applyBorder="1" applyAlignment="1">
      <alignment horizontal="center" vertical="center" wrapText="1"/>
    </xf>
    <xf numFmtId="0" fontId="89" fillId="3" borderId="79" xfId="0" applyFont="1" applyFill="1" applyBorder="1" applyAlignment="1">
      <alignment horizontal="center" vertical="center" wrapText="1"/>
    </xf>
    <xf numFmtId="0" fontId="54" fillId="24" borderId="47" xfId="0" applyFont="1" applyFill="1" applyBorder="1" applyAlignment="1">
      <alignment horizontal="right" vertical="center"/>
    </xf>
    <xf numFmtId="0" fontId="2" fillId="3" borderId="28" xfId="0" applyFont="1" applyFill="1" applyBorder="1"/>
    <xf numFmtId="0" fontId="55" fillId="51" borderId="13" xfId="0" applyFont="1" applyFill="1" applyBorder="1" applyAlignment="1" applyProtection="1">
      <alignment horizontal="left" vertical="center"/>
      <protection locked="0"/>
    </xf>
    <xf numFmtId="0" fontId="2" fillId="37" borderId="2" xfId="0" applyFont="1" applyFill="1" applyBorder="1" applyProtection="1">
      <protection locked="0"/>
    </xf>
    <xf numFmtId="165" fontId="55" fillId="51" borderId="13" xfId="0" applyNumberFormat="1" applyFont="1" applyFill="1" applyBorder="1" applyAlignment="1" applyProtection="1">
      <alignment horizontal="left" vertical="center"/>
      <protection locked="0"/>
    </xf>
    <xf numFmtId="0" fontId="2" fillId="37" borderId="27" xfId="0" applyFont="1" applyFill="1" applyBorder="1" applyProtection="1">
      <protection locked="0"/>
    </xf>
    <xf numFmtId="0" fontId="56" fillId="24" borderId="26" xfId="0" applyFont="1" applyFill="1" applyBorder="1" applyAlignment="1">
      <alignment horizontal="center" vertical="center"/>
    </xf>
    <xf numFmtId="165" fontId="55" fillId="51" borderId="13" xfId="0" applyNumberFormat="1" applyFont="1" applyFill="1" applyBorder="1" applyAlignment="1" applyProtection="1">
      <alignment horizontal="center" vertical="center"/>
      <protection locked="0"/>
    </xf>
    <xf numFmtId="0" fontId="58" fillId="24" borderId="9" xfId="0" applyFont="1" applyFill="1" applyBorder="1" applyAlignment="1">
      <alignment horizontal="right" wrapText="1"/>
    </xf>
    <xf numFmtId="0" fontId="2" fillId="3" borderId="26" xfId="0" applyFont="1" applyFill="1" applyBorder="1"/>
    <xf numFmtId="0" fontId="2" fillId="3" borderId="39" xfId="0" applyFont="1" applyFill="1" applyBorder="1"/>
    <xf numFmtId="0" fontId="9" fillId="5" borderId="47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right" vertical="center"/>
    </xf>
    <xf numFmtId="0" fontId="16" fillId="5" borderId="47" xfId="0" applyFont="1" applyFill="1" applyBorder="1" applyAlignment="1">
      <alignment horizontal="right" vertical="center"/>
    </xf>
    <xf numFmtId="0" fontId="8" fillId="39" borderId="13" xfId="0" applyFont="1" applyFill="1" applyBorder="1" applyAlignment="1" applyProtection="1">
      <alignment horizontal="left" vertical="center"/>
      <protection locked="0"/>
    </xf>
    <xf numFmtId="0" fontId="16" fillId="5" borderId="26" xfId="0" applyFont="1" applyFill="1" applyBorder="1" applyAlignment="1">
      <alignment horizontal="right" vertical="center"/>
    </xf>
    <xf numFmtId="0" fontId="2" fillId="37" borderId="55" xfId="0" applyFont="1" applyFill="1" applyBorder="1" applyProtection="1">
      <protection locked="0"/>
    </xf>
    <xf numFmtId="0" fontId="19" fillId="40" borderId="13" xfId="0" applyFont="1" applyFill="1" applyBorder="1" applyAlignment="1" applyProtection="1">
      <alignment horizontal="left" vertical="center"/>
      <protection locked="0"/>
    </xf>
    <xf numFmtId="0" fontId="8" fillId="40" borderId="13" xfId="0" applyFont="1" applyFill="1" applyBorder="1" applyAlignment="1" applyProtection="1">
      <alignment horizontal="left" vertical="center"/>
      <protection locked="0"/>
    </xf>
    <xf numFmtId="165" fontId="8" fillId="40" borderId="13" xfId="0" applyNumberFormat="1" applyFont="1" applyFill="1" applyBorder="1" applyAlignment="1" applyProtection="1">
      <alignment horizontal="left" vertical="center"/>
      <protection locked="0"/>
    </xf>
    <xf numFmtId="0" fontId="17" fillId="5" borderId="47" xfId="0" applyFont="1" applyFill="1" applyBorder="1" applyAlignment="1">
      <alignment horizontal="right" vertical="center"/>
    </xf>
    <xf numFmtId="0" fontId="55" fillId="48" borderId="13" xfId="0" applyFont="1" applyFill="1" applyBorder="1" applyAlignment="1" applyProtection="1">
      <alignment horizontal="center" vertical="center"/>
      <protection locked="0"/>
    </xf>
    <xf numFmtId="0" fontId="58" fillId="24" borderId="47" xfId="0" applyFont="1" applyFill="1" applyBorder="1" applyAlignment="1">
      <alignment horizontal="right" wrapText="1"/>
    </xf>
    <xf numFmtId="0" fontId="59" fillId="24" borderId="26" xfId="0" applyFont="1" applyFill="1" applyBorder="1" applyAlignment="1">
      <alignment horizontal="center" vertical="center"/>
    </xf>
    <xf numFmtId="0" fontId="60" fillId="24" borderId="47" xfId="0" applyFont="1" applyFill="1" applyBorder="1" applyAlignment="1">
      <alignment horizontal="right" vertical="center"/>
    </xf>
    <xf numFmtId="0" fontId="72" fillId="27" borderId="47" xfId="0" applyFont="1" applyFill="1" applyBorder="1" applyAlignment="1">
      <alignment horizontal="center" wrapText="1"/>
    </xf>
    <xf numFmtId="0" fontId="2" fillId="3" borderId="47" xfId="0" applyFont="1" applyFill="1" applyBorder="1"/>
    <xf numFmtId="14" fontId="41" fillId="27" borderId="48" xfId="0" applyNumberFormat="1" applyFont="1" applyFill="1" applyBorder="1" applyAlignment="1">
      <alignment horizontal="center" vertical="center"/>
    </xf>
    <xf numFmtId="0" fontId="2" fillId="3" borderId="4" xfId="0" applyFont="1" applyFill="1" applyBorder="1"/>
    <xf numFmtId="0" fontId="2" fillId="3" borderId="49" xfId="0" applyFont="1" applyFill="1" applyBorder="1"/>
    <xf numFmtId="0" fontId="6" fillId="24" borderId="23" xfId="0" applyFont="1" applyFill="1" applyBorder="1" applyAlignment="1">
      <alignment horizontal="center" vertical="center"/>
    </xf>
    <xf numFmtId="0" fontId="68" fillId="27" borderId="9" xfId="0" applyFont="1" applyFill="1" applyBorder="1" applyAlignment="1">
      <alignment horizontal="center" vertical="center"/>
    </xf>
    <xf numFmtId="0" fontId="65" fillId="53" borderId="13" xfId="0" applyFont="1" applyFill="1" applyBorder="1" applyAlignment="1">
      <alignment horizontal="right" vertical="center"/>
    </xf>
    <xf numFmtId="0" fontId="2" fillId="37" borderId="27" xfId="0" applyFont="1" applyFill="1" applyBorder="1"/>
    <xf numFmtId="0" fontId="2" fillId="37" borderId="2" xfId="0" applyFont="1" applyFill="1" applyBorder="1"/>
    <xf numFmtId="0" fontId="66" fillId="27" borderId="9" xfId="0" applyFont="1" applyFill="1" applyBorder="1" applyAlignment="1">
      <alignment horizontal="right" vertical="center"/>
    </xf>
    <xf numFmtId="44" fontId="67" fillId="28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Protection="1">
      <protection locked="0"/>
    </xf>
    <xf numFmtId="0" fontId="2" fillId="3" borderId="55" xfId="0" applyFont="1" applyFill="1" applyBorder="1" applyProtection="1">
      <protection locked="0"/>
    </xf>
    <xf numFmtId="0" fontId="69" fillId="27" borderId="47" xfId="0" applyFont="1" applyFill="1" applyBorder="1" applyAlignment="1">
      <alignment horizontal="center"/>
    </xf>
    <xf numFmtId="0" fontId="65" fillId="54" borderId="13" xfId="0" applyFont="1" applyFill="1" applyBorder="1" applyAlignment="1" applyProtection="1">
      <alignment horizontal="right" vertical="center"/>
      <protection locked="0"/>
    </xf>
    <xf numFmtId="0" fontId="64" fillId="53" borderId="8" xfId="0" applyFont="1" applyFill="1" applyBorder="1" applyAlignment="1" applyProtection="1">
      <alignment horizontal="right" vertical="center" wrapText="1"/>
      <protection locked="0"/>
    </xf>
    <xf numFmtId="0" fontId="2" fillId="37" borderId="29" xfId="0" applyFont="1" applyFill="1" applyBorder="1" applyProtection="1">
      <protection locked="0"/>
    </xf>
    <xf numFmtId="0" fontId="2" fillId="37" borderId="30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37" borderId="32" xfId="0" applyFont="1" applyFill="1" applyBorder="1" applyProtection="1">
      <protection locked="0"/>
    </xf>
    <xf numFmtId="0" fontId="2" fillId="37" borderId="33" xfId="0" applyFont="1" applyFill="1" applyBorder="1" applyProtection="1">
      <protection locked="0"/>
    </xf>
    <xf numFmtId="0" fontId="70" fillId="27" borderId="28" xfId="0" applyFont="1" applyFill="1" applyBorder="1" applyAlignment="1">
      <alignment horizontal="right" vertical="center"/>
    </xf>
    <xf numFmtId="0" fontId="58" fillId="27" borderId="9" xfId="0" applyFont="1" applyFill="1" applyBorder="1" applyAlignment="1">
      <alignment horizontal="right" vertical="center"/>
    </xf>
    <xf numFmtId="44" fontId="67" fillId="28" borderId="13" xfId="0" applyNumberFormat="1" applyFont="1" applyFill="1" applyBorder="1" applyAlignment="1">
      <alignment horizontal="center" vertical="center"/>
    </xf>
    <xf numFmtId="0" fontId="2" fillId="3" borderId="27" xfId="0" applyFont="1" applyFill="1" applyBorder="1"/>
    <xf numFmtId="0" fontId="2" fillId="3" borderId="55" xfId="0" applyFont="1" applyFill="1" applyBorder="1"/>
    <xf numFmtId="0" fontId="64" fillId="27" borderId="47" xfId="0" applyFont="1" applyFill="1" applyBorder="1" applyAlignment="1">
      <alignment horizontal="right" vertical="center"/>
    </xf>
    <xf numFmtId="14" fontId="62" fillId="26" borderId="56" xfId="0" applyNumberFormat="1" applyFont="1" applyFill="1" applyBorder="1" applyAlignment="1">
      <alignment horizontal="center" vertical="center"/>
    </xf>
    <xf numFmtId="0" fontId="2" fillId="3" borderId="14" xfId="0" applyFont="1" applyFill="1" applyBorder="1"/>
    <xf numFmtId="0" fontId="2" fillId="3" borderId="57" xfId="0" applyFont="1" applyFill="1" applyBorder="1"/>
    <xf numFmtId="14" fontId="41" fillId="27" borderId="58" xfId="0" applyNumberFormat="1" applyFont="1" applyFill="1" applyBorder="1" applyAlignment="1">
      <alignment horizontal="center" vertical="center"/>
    </xf>
    <xf numFmtId="0" fontId="2" fillId="3" borderId="11" xfId="0" applyFont="1" applyFill="1" applyBorder="1"/>
    <xf numFmtId="0" fontId="2" fillId="3" borderId="59" xfId="0" applyFont="1" applyFill="1" applyBorder="1"/>
    <xf numFmtId="0" fontId="68" fillId="27" borderId="47" xfId="0" applyFont="1" applyFill="1" applyBorder="1" applyAlignment="1">
      <alignment horizontal="center" vertical="center"/>
    </xf>
    <xf numFmtId="44" fontId="30" fillId="57" borderId="13" xfId="0" applyNumberFormat="1" applyFont="1" applyFill="1" applyBorder="1" applyAlignment="1">
      <alignment horizontal="center" vertical="center"/>
    </xf>
    <xf numFmtId="0" fontId="27" fillId="56" borderId="64" xfId="0" applyFont="1" applyFill="1" applyBorder="1" applyAlignment="1" applyProtection="1">
      <alignment horizontal="right" vertical="center"/>
      <protection locked="0"/>
    </xf>
    <xf numFmtId="0" fontId="46" fillId="27" borderId="47" xfId="0" applyFont="1" applyFill="1" applyBorder="1" applyAlignment="1">
      <alignment horizontal="center" vertical="center"/>
    </xf>
    <xf numFmtId="0" fontId="42" fillId="30" borderId="47" xfId="0" applyFont="1" applyFill="1" applyBorder="1" applyAlignment="1">
      <alignment horizontal="right" vertical="center"/>
    </xf>
    <xf numFmtId="0" fontId="73" fillId="10" borderId="13" xfId="0" applyFont="1" applyFill="1" applyBorder="1" applyAlignment="1">
      <alignment horizontal="center" vertical="center"/>
    </xf>
    <xf numFmtId="0" fontId="42" fillId="30" borderId="47" xfId="0" applyFont="1" applyFill="1" applyBorder="1" applyAlignment="1">
      <alignment horizontal="center" vertical="center"/>
    </xf>
    <xf numFmtId="0" fontId="74" fillId="55" borderId="13" xfId="0" applyFont="1" applyFill="1" applyBorder="1" applyAlignment="1" applyProtection="1">
      <alignment horizontal="left" vertical="center"/>
      <protection locked="0"/>
    </xf>
    <xf numFmtId="0" fontId="28" fillId="30" borderId="47" xfId="0" applyFont="1" applyFill="1" applyBorder="1" applyAlignment="1">
      <alignment horizontal="right" vertical="center"/>
    </xf>
    <xf numFmtId="0" fontId="30" fillId="30" borderId="47" xfId="0" applyFont="1" applyFill="1" applyBorder="1" applyAlignment="1">
      <alignment horizontal="right" vertical="center"/>
    </xf>
    <xf numFmtId="44" fontId="40" fillId="32" borderId="13" xfId="0" applyNumberFormat="1" applyFont="1" applyFill="1" applyBorder="1" applyAlignment="1">
      <alignment horizontal="center"/>
    </xf>
    <xf numFmtId="0" fontId="2" fillId="3" borderId="2" xfId="0" applyFont="1" applyFill="1" applyBorder="1"/>
    <xf numFmtId="0" fontId="40" fillId="35" borderId="47" xfId="0" applyFont="1" applyFill="1" applyBorder="1" applyAlignment="1">
      <alignment horizontal="left"/>
    </xf>
    <xf numFmtId="0" fontId="30" fillId="35" borderId="60" xfId="0" applyFont="1" applyFill="1" applyBorder="1" applyAlignment="1" applyProtection="1">
      <alignment horizontal="left" vertical="center"/>
      <protection locked="0"/>
    </xf>
    <xf numFmtId="0" fontId="2" fillId="3" borderId="29" xfId="0" applyFont="1" applyFill="1" applyBorder="1" applyProtection="1">
      <protection locked="0"/>
    </xf>
    <xf numFmtId="0" fontId="2" fillId="3" borderId="61" xfId="0" applyFont="1" applyFill="1" applyBorder="1" applyProtection="1">
      <protection locked="0"/>
    </xf>
    <xf numFmtId="0" fontId="2" fillId="3" borderId="62" xfId="0" applyFont="1" applyFill="1" applyBorder="1" applyProtection="1">
      <protection locked="0"/>
    </xf>
    <xf numFmtId="0" fontId="2" fillId="3" borderId="32" xfId="0" applyFont="1" applyFill="1" applyBorder="1" applyProtection="1">
      <protection locked="0"/>
    </xf>
    <xf numFmtId="0" fontId="2" fillId="3" borderId="63" xfId="0" applyFont="1" applyFill="1" applyBorder="1" applyProtection="1">
      <protection locked="0"/>
    </xf>
    <xf numFmtId="9" fontId="35" fillId="12" borderId="62" xfId="0" applyNumberFormat="1" applyFont="1" applyFill="1" applyBorder="1" applyAlignment="1">
      <alignment horizontal="center"/>
    </xf>
    <xf numFmtId="0" fontId="2" fillId="3" borderId="32" xfId="0" applyFont="1" applyFill="1" applyBorder="1"/>
    <xf numFmtId="0" fontId="2" fillId="3" borderId="63" xfId="0" applyFont="1" applyFill="1" applyBorder="1"/>
    <xf numFmtId="0" fontId="81" fillId="4" borderId="64" xfId="0" applyFont="1" applyFill="1" applyBorder="1" applyAlignment="1">
      <alignment horizontal="center"/>
    </xf>
    <xf numFmtId="0" fontId="85" fillId="12" borderId="62" xfId="0" applyFont="1" applyFill="1" applyBorder="1" applyAlignment="1">
      <alignment horizontal="center"/>
    </xf>
    <xf numFmtId="49" fontId="87" fillId="14" borderId="67" xfId="0" applyNumberFormat="1" applyFont="1" applyFill="1" applyBorder="1" applyAlignment="1">
      <alignment horizontal="center" vertical="center"/>
    </xf>
    <xf numFmtId="0" fontId="2" fillId="3" borderId="68" xfId="0" applyFont="1" applyFill="1" applyBorder="1"/>
    <xf numFmtId="0" fontId="2" fillId="3" borderId="69" xfId="0" applyFont="1" applyFill="1" applyBorder="1"/>
    <xf numFmtId="9" fontId="85" fillId="14" borderId="70" xfId="0" applyNumberFormat="1" applyFont="1" applyFill="1" applyBorder="1" applyAlignment="1" applyProtection="1">
      <alignment horizontal="center" vertical="center"/>
      <protection locked="0"/>
    </xf>
    <xf numFmtId="0" fontId="2" fillId="3" borderId="68" xfId="0" applyFont="1" applyFill="1" applyBorder="1" applyProtection="1">
      <protection locked="0"/>
    </xf>
    <xf numFmtId="0" fontId="2" fillId="3" borderId="69" xfId="0" applyFont="1" applyFill="1" applyBorder="1" applyProtection="1">
      <protection locked="0"/>
    </xf>
    <xf numFmtId="0" fontId="83" fillId="14" borderId="70" xfId="0" applyFont="1" applyFill="1" applyBorder="1" applyAlignment="1" applyProtection="1">
      <alignment horizontal="center" vertical="center"/>
      <protection locked="0"/>
    </xf>
    <xf numFmtId="0" fontId="2" fillId="3" borderId="72" xfId="0" applyFont="1" applyFill="1" applyBorder="1" applyProtection="1">
      <protection locked="0"/>
    </xf>
    <xf numFmtId="0" fontId="82" fillId="14" borderId="18" xfId="0" applyFont="1" applyFill="1" applyBorder="1" applyAlignment="1">
      <alignment horizontal="center"/>
    </xf>
    <xf numFmtId="0" fontId="2" fillId="3" borderId="33" xfId="0" applyFont="1" applyFill="1" applyBorder="1"/>
    <xf numFmtId="44" fontId="82" fillId="14" borderId="18" xfId="0" applyNumberFormat="1" applyFont="1" applyFill="1" applyBorder="1" applyAlignment="1">
      <alignment horizontal="center" vertical="center"/>
    </xf>
    <xf numFmtId="0" fontId="84" fillId="12" borderId="47" xfId="0" applyFont="1" applyFill="1" applyBorder="1" applyAlignment="1">
      <alignment horizontal="center" vertical="center"/>
    </xf>
    <xf numFmtId="9" fontId="83" fillId="14" borderId="13" xfId="0" applyNumberFormat="1" applyFont="1" applyFill="1" applyBorder="1" applyAlignment="1">
      <alignment horizontal="center"/>
    </xf>
    <xf numFmtId="0" fontId="83" fillId="14" borderId="13" xfId="0" applyFont="1" applyFill="1" applyBorder="1" applyAlignment="1">
      <alignment horizontal="center"/>
    </xf>
    <xf numFmtId="0" fontId="30" fillId="30" borderId="26" xfId="0" applyFont="1" applyFill="1" applyBorder="1" applyAlignment="1">
      <alignment horizontal="center" vertical="center"/>
    </xf>
    <xf numFmtId="0" fontId="0" fillId="3" borderId="26" xfId="0" applyFill="1" applyBorder="1"/>
    <xf numFmtId="0" fontId="75" fillId="12" borderId="60" xfId="0" applyFont="1" applyFill="1" applyBorder="1" applyAlignment="1" applyProtection="1">
      <alignment horizontal="left" vertical="center" wrapText="1"/>
      <protection locked="0"/>
    </xf>
    <xf numFmtId="0" fontId="2" fillId="3" borderId="30" xfId="0" applyFont="1" applyFill="1" applyBorder="1" applyProtection="1">
      <protection locked="0"/>
    </xf>
    <xf numFmtId="0" fontId="2" fillId="3" borderId="33" xfId="0" applyFont="1" applyFill="1" applyBorder="1" applyProtection="1">
      <protection locked="0"/>
    </xf>
    <xf numFmtId="0" fontId="49" fillId="30" borderId="48" xfId="0" applyFont="1" applyFill="1" applyBorder="1" applyAlignment="1">
      <alignment horizontal="center" vertical="center"/>
    </xf>
    <xf numFmtId="0" fontId="77" fillId="31" borderId="56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right"/>
    </xf>
    <xf numFmtId="44" fontId="14" fillId="10" borderId="27" xfId="0" applyNumberFormat="1" applyFont="1" applyFill="1" applyBorder="1" applyAlignment="1">
      <alignment wrapText="1"/>
    </xf>
    <xf numFmtId="0" fontId="6" fillId="32" borderId="58" xfId="0" applyFont="1" applyFill="1" applyBorder="1" applyAlignment="1">
      <alignment horizontal="center" vertical="center"/>
    </xf>
    <xf numFmtId="0" fontId="26" fillId="32" borderId="47" xfId="0" applyFont="1" applyFill="1" applyBorder="1" applyAlignment="1">
      <alignment horizontal="center" vertical="center"/>
    </xf>
    <xf numFmtId="0" fontId="78" fillId="32" borderId="13" xfId="0" applyFont="1" applyFill="1" applyBorder="1" applyAlignment="1">
      <alignment horizontal="right" vertical="center"/>
    </xf>
    <xf numFmtId="44" fontId="79" fillId="32" borderId="27" xfId="0" applyNumberFormat="1" applyFont="1" applyFill="1" applyBorder="1" applyAlignment="1">
      <alignment vertical="center"/>
    </xf>
    <xf numFmtId="0" fontId="58" fillId="33" borderId="13" xfId="0" applyFont="1" applyFill="1" applyBorder="1" applyAlignment="1">
      <alignment horizontal="right" vertical="center"/>
    </xf>
    <xf numFmtId="44" fontId="67" fillId="33" borderId="27" xfId="0" applyNumberFormat="1" applyFont="1" applyFill="1" applyBorder="1" applyAlignment="1">
      <alignment horizontal="center" vertical="center"/>
    </xf>
    <xf numFmtId="0" fontId="40" fillId="30" borderId="62" xfId="0" applyFont="1" applyFill="1" applyBorder="1" applyAlignment="1">
      <alignment horizontal="center"/>
    </xf>
    <xf numFmtId="0" fontId="6" fillId="34" borderId="47" xfId="0" applyFont="1" applyFill="1" applyBorder="1" applyAlignment="1">
      <alignment horizontal="center" vertical="center"/>
    </xf>
    <xf numFmtId="0" fontId="28" fillId="32" borderId="8" xfId="0" applyFont="1" applyFill="1" applyBorder="1" applyAlignment="1">
      <alignment horizontal="center"/>
    </xf>
    <xf numFmtId="0" fontId="2" fillId="3" borderId="30" xfId="0" applyFont="1" applyFill="1" applyBorder="1"/>
    <xf numFmtId="0" fontId="2" fillId="3" borderId="18" xfId="0" applyFont="1" applyFill="1" applyBorder="1"/>
    <xf numFmtId="0" fontId="27" fillId="10" borderId="54" xfId="0" applyFont="1" applyFill="1" applyBorder="1" applyAlignment="1">
      <alignment horizontal="center" wrapText="1"/>
    </xf>
    <xf numFmtId="0" fontId="2" fillId="3" borderId="66" xfId="0" applyFont="1" applyFill="1" applyBorder="1"/>
    <xf numFmtId="0" fontId="30" fillId="32" borderId="8" xfId="0" applyFont="1" applyFill="1" applyBorder="1" applyAlignment="1">
      <alignment horizontal="center" wrapText="1"/>
    </xf>
    <xf numFmtId="0" fontId="2" fillId="3" borderId="29" xfId="0" applyFont="1" applyFill="1" applyBorder="1"/>
    <xf numFmtId="0" fontId="80" fillId="27" borderId="47" xfId="0" applyFont="1" applyFill="1" applyBorder="1" applyAlignment="1">
      <alignment horizontal="left" vertical="center"/>
    </xf>
    <xf numFmtId="0" fontId="42" fillId="35" borderId="60" xfId="0" applyFont="1" applyFill="1" applyBorder="1" applyAlignment="1">
      <alignment horizontal="center" wrapText="1"/>
    </xf>
    <xf numFmtId="0" fontId="2" fillId="3" borderId="62" xfId="0" applyFont="1" applyFill="1" applyBorder="1"/>
    <xf numFmtId="0" fontId="30" fillId="10" borderId="29" xfId="0" applyFont="1" applyFill="1" applyBorder="1" applyAlignment="1">
      <alignment horizontal="center" wrapText="1"/>
    </xf>
    <xf numFmtId="0" fontId="28" fillId="32" borderId="30" xfId="0" applyFont="1" applyFill="1" applyBorder="1" applyAlignment="1">
      <alignment horizontal="center" wrapText="1"/>
    </xf>
    <xf numFmtId="0" fontId="28" fillId="32" borderId="31" xfId="0" applyFont="1" applyFill="1" applyBorder="1" applyAlignment="1">
      <alignment horizontal="center" wrapText="1"/>
    </xf>
    <xf numFmtId="0" fontId="2" fillId="3" borderId="34" xfId="0" applyFont="1" applyFill="1" applyBorder="1"/>
    <xf numFmtId="0" fontId="1" fillId="2" borderId="44" xfId="0" applyFont="1" applyFill="1" applyBorder="1" applyAlignment="1">
      <alignment horizontal="center" vertical="center"/>
    </xf>
    <xf numFmtId="0" fontId="2" fillId="3" borderId="45" xfId="0" applyFont="1" applyFill="1" applyBorder="1"/>
    <xf numFmtId="0" fontId="2" fillId="3" borderId="48" xfId="0" applyFont="1" applyFill="1" applyBorder="1"/>
    <xf numFmtId="0" fontId="3" fillId="4" borderId="50" xfId="0" applyFont="1" applyFill="1" applyBorder="1" applyAlignment="1">
      <alignment horizontal="center" vertical="center"/>
    </xf>
    <xf numFmtId="0" fontId="2" fillId="3" borderId="51" xfId="0" applyFont="1" applyFill="1" applyBorder="1"/>
    <xf numFmtId="0" fontId="2" fillId="3" borderId="21" xfId="0" applyFont="1" applyFill="1" applyBorder="1"/>
    <xf numFmtId="0" fontId="2" fillId="3" borderId="5" xfId="0" applyFont="1" applyFill="1" applyBorder="1"/>
    <xf numFmtId="0" fontId="4" fillId="4" borderId="52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Protection="1">
      <protection locked="0"/>
    </xf>
    <xf numFmtId="0" fontId="7" fillId="5" borderId="47" xfId="0" applyFont="1" applyFill="1" applyBorder="1" applyAlignment="1">
      <alignment vertical="center"/>
    </xf>
    <xf numFmtId="0" fontId="8" fillId="5" borderId="47" xfId="0" applyFont="1" applyFill="1" applyBorder="1" applyAlignment="1">
      <alignment horizontal="right" vertical="center"/>
    </xf>
    <xf numFmtId="0" fontId="100" fillId="36" borderId="13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>
      <alignment horizontal="right" vertical="center"/>
    </xf>
    <xf numFmtId="0" fontId="12" fillId="6" borderId="13" xfId="0" applyFont="1" applyFill="1" applyBorder="1" applyAlignment="1">
      <alignment horizontal="center"/>
    </xf>
    <xf numFmtId="0" fontId="12" fillId="38" borderId="13" xfId="0" applyFont="1" applyFill="1" applyBorder="1" applyAlignment="1" applyProtection="1">
      <alignment horizontal="center" vertical="center" wrapText="1"/>
      <protection locked="0"/>
    </xf>
    <xf numFmtId="0" fontId="10" fillId="5" borderId="47" xfId="0" applyFont="1" applyFill="1" applyBorder="1" applyAlignment="1">
      <alignment horizontal="right" vertical="center"/>
    </xf>
    <xf numFmtId="0" fontId="11" fillId="6" borderId="13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Protection="1">
      <protection locked="0"/>
    </xf>
    <xf numFmtId="0" fontId="98" fillId="37" borderId="27" xfId="0" applyFont="1" applyFill="1" applyBorder="1" applyProtection="1">
      <protection locked="0"/>
    </xf>
    <xf numFmtId="0" fontId="98" fillId="37" borderId="2" xfId="0" applyFont="1" applyFill="1" applyBorder="1" applyProtection="1">
      <protection locked="0"/>
    </xf>
    <xf numFmtId="0" fontId="18" fillId="40" borderId="13" xfId="0" applyFont="1" applyFill="1" applyBorder="1" applyAlignment="1" applyProtection="1">
      <alignment horizontal="left" vertical="center"/>
      <protection locked="0"/>
    </xf>
    <xf numFmtId="0" fontId="8" fillId="40" borderId="8" xfId="0" applyFont="1" applyFill="1" applyBorder="1" applyAlignment="1" applyProtection="1">
      <alignment horizontal="left" vertical="center"/>
      <protection locked="0"/>
    </xf>
    <xf numFmtId="0" fontId="8" fillId="40" borderId="13" xfId="0" applyFont="1" applyFill="1" applyBorder="1" applyAlignment="1" applyProtection="1">
      <alignment horizontal="center" vertical="center"/>
      <protection locked="0"/>
    </xf>
    <xf numFmtId="20" fontId="95" fillId="42" borderId="36" xfId="0" applyNumberFormat="1" applyFont="1" applyFill="1" applyBorder="1" applyAlignment="1" applyProtection="1">
      <alignment horizontal="center" vertical="center"/>
      <protection locked="0"/>
    </xf>
    <xf numFmtId="0" fontId="95" fillId="42" borderId="37" xfId="0" applyFont="1" applyFill="1" applyBorder="1" applyAlignment="1" applyProtection="1">
      <alignment horizontal="center" vertical="center"/>
      <protection locked="0"/>
    </xf>
    <xf numFmtId="0" fontId="95" fillId="42" borderId="38" xfId="0" applyFont="1" applyFill="1" applyBorder="1" applyAlignment="1" applyProtection="1">
      <alignment horizontal="center" vertical="center"/>
      <protection locked="0"/>
    </xf>
    <xf numFmtId="0" fontId="95" fillId="42" borderId="36" xfId="0" applyFont="1" applyFill="1" applyBorder="1" applyAlignment="1" applyProtection="1">
      <alignment horizontal="center" vertical="center"/>
      <protection locked="0"/>
    </xf>
    <xf numFmtId="1" fontId="95" fillId="44" borderId="36" xfId="0" applyNumberFormat="1" applyFont="1" applyFill="1" applyBorder="1" applyAlignment="1" applyProtection="1">
      <alignment horizontal="center" vertical="center"/>
      <protection locked="0"/>
    </xf>
    <xf numFmtId="1" fontId="95" fillId="44" borderId="37" xfId="0" applyNumberFormat="1" applyFont="1" applyFill="1" applyBorder="1" applyAlignment="1" applyProtection="1">
      <alignment horizontal="center" vertical="center"/>
      <protection locked="0"/>
    </xf>
    <xf numFmtId="1" fontId="95" fillId="44" borderId="38" xfId="0" applyNumberFormat="1" applyFont="1" applyFill="1" applyBorder="1" applyAlignment="1" applyProtection="1">
      <alignment horizontal="center" vertical="center"/>
      <protection locked="0"/>
    </xf>
    <xf numFmtId="0" fontId="95" fillId="44" borderId="36" xfId="0" applyFont="1" applyFill="1" applyBorder="1" applyAlignment="1" applyProtection="1">
      <alignment horizontal="center" vertical="center"/>
      <protection locked="0"/>
    </xf>
    <xf numFmtId="0" fontId="95" fillId="44" borderId="37" xfId="0" applyFont="1" applyFill="1" applyBorder="1" applyAlignment="1" applyProtection="1">
      <alignment horizontal="center" vertical="center"/>
      <protection locked="0"/>
    </xf>
    <xf numFmtId="0" fontId="95" fillId="44" borderId="38" xfId="0" applyFont="1" applyFill="1" applyBorder="1" applyAlignment="1" applyProtection="1">
      <alignment horizontal="center" vertical="center"/>
      <protection locked="0"/>
    </xf>
    <xf numFmtId="0" fontId="95" fillId="41" borderId="36" xfId="0" applyFont="1" applyFill="1" applyBorder="1" applyAlignment="1" applyProtection="1">
      <alignment horizontal="center" vertical="center"/>
      <protection locked="0"/>
    </xf>
    <xf numFmtId="0" fontId="95" fillId="41" borderId="37" xfId="0" applyFont="1" applyFill="1" applyBorder="1" applyAlignment="1" applyProtection="1">
      <alignment horizontal="center" vertical="center"/>
      <protection locked="0"/>
    </xf>
    <xf numFmtId="0" fontId="95" fillId="41" borderId="38" xfId="0" applyFont="1" applyFill="1" applyBorder="1" applyAlignment="1" applyProtection="1">
      <alignment horizontal="center" vertical="center"/>
      <protection locked="0"/>
    </xf>
    <xf numFmtId="166" fontId="95" fillId="41" borderId="36" xfId="0" applyNumberFormat="1" applyFont="1" applyFill="1" applyBorder="1" applyAlignment="1" applyProtection="1">
      <alignment horizontal="center" vertical="center"/>
      <protection locked="0"/>
    </xf>
    <xf numFmtId="166" fontId="95" fillId="41" borderId="37" xfId="0" applyNumberFormat="1" applyFont="1" applyFill="1" applyBorder="1" applyAlignment="1" applyProtection="1">
      <alignment horizontal="center" vertical="center"/>
      <protection locked="0"/>
    </xf>
    <xf numFmtId="166" fontId="95" fillId="41" borderId="38" xfId="0" applyNumberFormat="1" applyFont="1" applyFill="1" applyBorder="1" applyAlignment="1" applyProtection="1">
      <alignment horizontal="center" vertical="center"/>
      <protection locked="0"/>
    </xf>
    <xf numFmtId="49" fontId="95" fillId="42" borderId="36" xfId="0" applyNumberFormat="1" applyFont="1" applyFill="1" applyBorder="1" applyAlignment="1" applyProtection="1">
      <alignment horizontal="center" vertical="center"/>
      <protection locked="0"/>
    </xf>
    <xf numFmtId="49" fontId="95" fillId="42" borderId="37" xfId="0" applyNumberFormat="1" applyFont="1" applyFill="1" applyBorder="1" applyAlignment="1" applyProtection="1">
      <alignment horizontal="center" vertical="center"/>
      <protection locked="0"/>
    </xf>
    <xf numFmtId="49" fontId="95" fillId="42" borderId="38" xfId="0" applyNumberFormat="1" applyFont="1" applyFill="1" applyBorder="1" applyAlignment="1" applyProtection="1">
      <alignment horizontal="center" vertical="center"/>
      <protection locked="0"/>
    </xf>
    <xf numFmtId="0" fontId="7" fillId="5" borderId="47" xfId="0" applyFont="1" applyFill="1" applyBorder="1" applyAlignment="1">
      <alignment horizontal="center" vertical="center"/>
    </xf>
    <xf numFmtId="0" fontId="20" fillId="7" borderId="41" xfId="0" applyFont="1" applyFill="1" applyBorder="1" applyAlignment="1">
      <alignment horizontal="center" vertical="center"/>
    </xf>
    <xf numFmtId="0" fontId="20" fillId="7" borderId="42" xfId="0" applyFont="1" applyFill="1" applyBorder="1" applyAlignment="1">
      <alignment horizontal="center" vertical="center"/>
    </xf>
    <xf numFmtId="0" fontId="20" fillId="7" borderId="43" xfId="0" applyFont="1" applyFill="1" applyBorder="1" applyAlignment="1">
      <alignment horizontal="center" vertical="center"/>
    </xf>
    <xf numFmtId="0" fontId="21" fillId="7" borderId="44" xfId="0" applyFont="1" applyFill="1" applyBorder="1" applyAlignment="1">
      <alignment horizontal="center" vertical="center"/>
    </xf>
    <xf numFmtId="0" fontId="2" fillId="3" borderId="46" xfId="0" applyFont="1" applyFill="1" applyBorder="1"/>
    <xf numFmtId="1" fontId="95" fillId="43" borderId="36" xfId="0" applyNumberFormat="1" applyFont="1" applyFill="1" applyBorder="1" applyAlignment="1" applyProtection="1">
      <alignment horizontal="center" vertical="center"/>
      <protection locked="0"/>
    </xf>
    <xf numFmtId="1" fontId="95" fillId="43" borderId="37" xfId="0" applyNumberFormat="1" applyFont="1" applyFill="1" applyBorder="1" applyAlignment="1" applyProtection="1">
      <alignment horizontal="center" vertical="center"/>
      <protection locked="0"/>
    </xf>
    <xf numFmtId="1" fontId="95" fillId="43" borderId="38" xfId="0" applyNumberFormat="1" applyFont="1" applyFill="1" applyBorder="1" applyAlignment="1" applyProtection="1">
      <alignment horizontal="center" vertical="center"/>
      <protection locked="0"/>
    </xf>
    <xf numFmtId="0" fontId="95" fillId="43" borderId="36" xfId="0" applyFont="1" applyFill="1" applyBorder="1" applyAlignment="1" applyProtection="1">
      <alignment horizontal="center" vertical="center" wrapText="1"/>
      <protection locked="0"/>
    </xf>
    <xf numFmtId="0" fontId="95" fillId="43" borderId="38" xfId="0" applyFont="1" applyFill="1" applyBorder="1" applyAlignment="1" applyProtection="1">
      <alignment horizontal="center" vertical="center" wrapText="1"/>
      <protection locked="0"/>
    </xf>
    <xf numFmtId="0" fontId="28" fillId="13" borderId="47" xfId="0" applyFont="1" applyFill="1" applyBorder="1" applyAlignment="1">
      <alignment horizontal="center" vertical="center"/>
    </xf>
    <xf numFmtId="0" fontId="2" fillId="3" borderId="25" xfId="0" applyFont="1" applyFill="1" applyBorder="1"/>
    <xf numFmtId="0" fontId="28" fillId="13" borderId="9" xfId="0" applyFont="1" applyFill="1" applyBorder="1" applyAlignment="1">
      <alignment horizontal="right" vertical="center"/>
    </xf>
    <xf numFmtId="164" fontId="27" fillId="16" borderId="13" xfId="0" applyNumberFormat="1" applyFont="1" applyFill="1" applyBorder="1" applyAlignment="1" applyProtection="1">
      <alignment horizontal="center" vertical="center"/>
      <protection locked="0"/>
    </xf>
    <xf numFmtId="0" fontId="30" fillId="13" borderId="9" xfId="0" applyFont="1" applyFill="1" applyBorder="1" applyAlignment="1">
      <alignment horizontal="right" vertical="center"/>
    </xf>
    <xf numFmtId="0" fontId="30" fillId="13" borderId="47" xfId="0" applyFont="1" applyFill="1" applyBorder="1" applyAlignment="1">
      <alignment horizontal="right" vertical="center"/>
    </xf>
    <xf numFmtId="171" fontId="27" fillId="46" borderId="13" xfId="0" applyNumberFormat="1" applyFont="1" applyFill="1" applyBorder="1" applyAlignment="1" applyProtection="1">
      <alignment vertical="center"/>
      <protection locked="0"/>
    </xf>
    <xf numFmtId="0" fontId="21" fillId="8" borderId="47" xfId="0" applyFont="1" applyFill="1" applyBorder="1" applyAlignment="1">
      <alignment horizontal="center" vertical="center"/>
    </xf>
    <xf numFmtId="0" fontId="22" fillId="8" borderId="41" xfId="0" applyFont="1" applyFill="1" applyBorder="1" applyAlignment="1">
      <alignment horizontal="center" vertical="center"/>
    </xf>
    <xf numFmtId="0" fontId="97" fillId="3" borderId="42" xfId="0" applyFont="1" applyFill="1" applyBorder="1"/>
    <xf numFmtId="0" fontId="97" fillId="3" borderId="43" xfId="0" applyFont="1" applyFill="1" applyBorder="1"/>
    <xf numFmtId="0" fontId="25" fillId="11" borderId="56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5" fillId="12" borderId="6" xfId="0" applyFont="1" applyFill="1" applyBorder="1" applyAlignment="1">
      <alignment horizontal="center" vertical="center"/>
    </xf>
    <xf numFmtId="0" fontId="2" fillId="3" borderId="57" xfId="0" applyFont="1" applyFill="1" applyBorder="1" applyAlignment="1">
      <alignment vertical="center"/>
    </xf>
    <xf numFmtId="0" fontId="28" fillId="13" borderId="47" xfId="0" applyFont="1" applyFill="1" applyBorder="1" applyAlignment="1">
      <alignment horizontal="center"/>
    </xf>
    <xf numFmtId="14" fontId="27" fillId="45" borderId="13" xfId="0" applyNumberFormat="1" applyFont="1" applyFill="1" applyBorder="1" applyAlignment="1" applyProtection="1">
      <alignment horizontal="center" vertical="center"/>
      <protection locked="0"/>
    </xf>
    <xf numFmtId="168" fontId="27" fillId="15" borderId="13" xfId="0" applyNumberFormat="1" applyFont="1" applyFill="1" applyBorder="1" applyAlignment="1">
      <alignment horizontal="center" vertical="center"/>
    </xf>
    <xf numFmtId="0" fontId="27" fillId="13" borderId="58" xfId="0" applyFont="1" applyFill="1" applyBorder="1" applyAlignment="1">
      <alignment horizontal="center" vertical="center"/>
    </xf>
    <xf numFmtId="0" fontId="2" fillId="3" borderId="12" xfId="0" applyFont="1" applyFill="1" applyBorder="1"/>
    <xf numFmtId="0" fontId="27" fillId="14" borderId="10" xfId="0" applyFont="1" applyFill="1" applyBorder="1" applyAlignment="1">
      <alignment horizontal="center" vertical="center"/>
    </xf>
    <xf numFmtId="44" fontId="27" fillId="46" borderId="13" xfId="0" applyNumberFormat="1" applyFont="1" applyFill="1" applyBorder="1" applyAlignment="1" applyProtection="1">
      <alignment vertical="center"/>
      <protection locked="0"/>
    </xf>
    <xf numFmtId="0" fontId="28" fillId="13" borderId="26" xfId="0" applyFont="1" applyFill="1" applyBorder="1" applyAlignment="1">
      <alignment horizontal="center"/>
    </xf>
    <xf numFmtId="0" fontId="27" fillId="16" borderId="13" xfId="0" applyFont="1" applyFill="1" applyBorder="1" applyAlignment="1" applyProtection="1">
      <alignment horizontal="center" vertical="center"/>
      <protection locked="0"/>
    </xf>
    <xf numFmtId="44" fontId="27" fillId="16" borderId="13" xfId="0" applyNumberFormat="1" applyFont="1" applyFill="1" applyBorder="1" applyAlignment="1" applyProtection="1">
      <alignment horizontal="center" vertical="center"/>
      <protection locked="0"/>
    </xf>
    <xf numFmtId="0" fontId="22" fillId="8" borderId="44" xfId="0" applyFont="1" applyFill="1" applyBorder="1" applyAlignment="1" applyProtection="1">
      <alignment horizontal="left" vertical="top"/>
      <protection locked="0"/>
    </xf>
    <xf numFmtId="0" fontId="22" fillId="8" borderId="45" xfId="0" applyFont="1" applyFill="1" applyBorder="1" applyAlignment="1" applyProtection="1">
      <alignment horizontal="left" vertical="top"/>
      <protection locked="0"/>
    </xf>
    <xf numFmtId="0" fontId="22" fillId="8" borderId="46" xfId="0" applyFont="1" applyFill="1" applyBorder="1" applyAlignment="1" applyProtection="1">
      <alignment horizontal="left" vertical="top"/>
      <protection locked="0"/>
    </xf>
    <xf numFmtId="0" fontId="22" fillId="8" borderId="48" xfId="0" applyFont="1" applyFill="1" applyBorder="1" applyAlignment="1" applyProtection="1">
      <alignment horizontal="left" vertical="top"/>
      <protection locked="0"/>
    </xf>
    <xf numFmtId="0" fontId="22" fillId="8" borderId="4" xfId="0" applyFont="1" applyFill="1" applyBorder="1" applyAlignment="1" applyProtection="1">
      <alignment horizontal="left" vertical="top"/>
      <protection locked="0"/>
    </xf>
    <xf numFmtId="0" fontId="22" fillId="8" borderId="49" xfId="0" applyFont="1" applyFill="1" applyBorder="1" applyAlignment="1" applyProtection="1">
      <alignment horizontal="left" vertical="top"/>
      <protection locked="0"/>
    </xf>
    <xf numFmtId="44" fontId="27" fillId="49" borderId="18" xfId="0" applyNumberFormat="1" applyFont="1" applyFill="1" applyBorder="1" applyAlignment="1">
      <alignment vertical="center"/>
    </xf>
    <xf numFmtId="0" fontId="2" fillId="37" borderId="32" xfId="0" applyFont="1" applyFill="1" applyBorder="1"/>
    <xf numFmtId="0" fontId="2" fillId="37" borderId="63" xfId="0" applyFont="1" applyFill="1" applyBorder="1"/>
    <xf numFmtId="0" fontId="28" fillId="13" borderId="9" xfId="0" applyFont="1" applyFill="1" applyBorder="1" applyAlignment="1">
      <alignment horizontal="center"/>
    </xf>
    <xf numFmtId="0" fontId="38" fillId="14" borderId="24" xfId="0" applyFont="1" applyFill="1" applyBorder="1" applyAlignment="1">
      <alignment horizontal="right" vertical="center" wrapText="1"/>
    </xf>
    <xf numFmtId="0" fontId="27" fillId="14" borderId="21" xfId="0" applyFont="1" applyFill="1" applyBorder="1" applyAlignment="1">
      <alignment horizontal="center" vertical="center"/>
    </xf>
    <xf numFmtId="0" fontId="40" fillId="13" borderId="47" xfId="0" applyFont="1" applyFill="1" applyBorder="1" applyAlignment="1">
      <alignment horizontal="left"/>
    </xf>
    <xf numFmtId="0" fontId="28" fillId="13" borderId="47" xfId="0" applyFont="1" applyFill="1" applyBorder="1" applyAlignment="1">
      <alignment horizontal="right" vertical="center"/>
    </xf>
    <xf numFmtId="49" fontId="27" fillId="47" borderId="13" xfId="0" applyNumberFormat="1" applyFont="1" applyFill="1" applyBorder="1" applyAlignment="1" applyProtection="1">
      <alignment horizontal="center" vertical="center"/>
      <protection locked="0"/>
    </xf>
    <xf numFmtId="2" fontId="28" fillId="47" borderId="18" xfId="0" applyNumberFormat="1" applyFont="1" applyFill="1" applyBorder="1" applyAlignment="1" applyProtection="1">
      <alignment horizontal="center" vertical="center"/>
      <protection locked="0"/>
    </xf>
    <xf numFmtId="44" fontId="28" fillId="49" borderId="18" xfId="0" applyNumberFormat="1" applyFont="1" applyFill="1" applyBorder="1" applyAlignment="1">
      <alignment vertical="center"/>
    </xf>
    <xf numFmtId="0" fontId="2" fillId="37" borderId="33" xfId="0" applyFont="1" applyFill="1" applyBorder="1"/>
    <xf numFmtId="44" fontId="27" fillId="16" borderId="13" xfId="0" applyNumberFormat="1" applyFont="1" applyFill="1" applyBorder="1" applyAlignment="1" applyProtection="1">
      <alignment vertical="center"/>
      <protection locked="0"/>
    </xf>
    <xf numFmtId="9" fontId="27" fillId="46" borderId="13" xfId="0" applyNumberFormat="1" applyFont="1" applyFill="1" applyBorder="1" applyAlignment="1" applyProtection="1">
      <alignment vertical="center"/>
      <protection locked="0"/>
    </xf>
    <xf numFmtId="44" fontId="36" fillId="16" borderId="13" xfId="0" applyNumberFormat="1" applyFont="1" applyFill="1" applyBorder="1" applyAlignment="1">
      <alignment vertical="center"/>
    </xf>
    <xf numFmtId="172" fontId="36" fillId="46" borderId="13" xfId="0" applyNumberFormat="1" applyFont="1" applyFill="1" applyBorder="1" applyAlignment="1" applyProtection="1">
      <alignment horizontal="center" vertical="center"/>
      <protection locked="0"/>
    </xf>
    <xf numFmtId="0" fontId="33" fillId="18" borderId="9" xfId="0" applyFont="1" applyFill="1" applyBorder="1" applyAlignment="1">
      <alignment horizontal="right" vertical="center"/>
    </xf>
    <xf numFmtId="0" fontId="33" fillId="18" borderId="26" xfId="0" applyFont="1" applyFill="1" applyBorder="1" applyAlignment="1">
      <alignment horizontal="right" vertical="center"/>
    </xf>
    <xf numFmtId="0" fontId="28" fillId="17" borderId="60" xfId="0" applyFont="1" applyFill="1" applyBorder="1" applyAlignment="1" applyProtection="1">
      <alignment horizontal="left" vertical="center" wrapText="1"/>
      <protection locked="0"/>
    </xf>
    <xf numFmtId="0" fontId="2" fillId="3" borderId="47" xfId="0" applyFont="1" applyFill="1" applyBorder="1" applyProtection="1">
      <protection locked="0"/>
    </xf>
    <xf numFmtId="0" fontId="2" fillId="3" borderId="26" xfId="0" applyFont="1" applyFill="1" applyBorder="1" applyProtection="1">
      <protection locked="0"/>
    </xf>
    <xf numFmtId="0" fontId="2" fillId="3" borderId="39" xfId="0" applyFont="1" applyFill="1" applyBorder="1" applyProtection="1">
      <protection locked="0"/>
    </xf>
    <xf numFmtId="0" fontId="43" fillId="4" borderId="14" xfId="0" applyFont="1" applyFill="1" applyBorder="1" applyAlignment="1">
      <alignment horizontal="center" vertical="center" wrapText="1"/>
    </xf>
    <xf numFmtId="2" fontId="44" fillId="4" borderId="15" xfId="0" applyNumberFormat="1" applyFont="1" applyFill="1" applyBorder="1" applyAlignment="1">
      <alignment horizontal="center"/>
    </xf>
    <xf numFmtId="0" fontId="2" fillId="3" borderId="16" xfId="0" applyFont="1" applyFill="1" applyBorder="1"/>
    <xf numFmtId="0" fontId="42" fillId="15" borderId="15" xfId="0" applyFont="1" applyFill="1" applyBorder="1" applyAlignment="1">
      <alignment horizontal="center"/>
    </xf>
    <xf numFmtId="44" fontId="42" fillId="17" borderId="58" xfId="0" applyNumberFormat="1" applyFont="1" applyFill="1" applyBorder="1" applyAlignment="1">
      <alignment horizontal="center" wrapText="1"/>
    </xf>
    <xf numFmtId="44" fontId="27" fillId="47" borderId="62" xfId="0" applyNumberFormat="1" applyFont="1" applyFill="1" applyBorder="1" applyAlignment="1" applyProtection="1">
      <alignment vertical="center"/>
      <protection locked="0"/>
    </xf>
    <xf numFmtId="0" fontId="37" fillId="18" borderId="47" xfId="0" applyFont="1" applyFill="1" applyBorder="1" applyAlignment="1">
      <alignment horizontal="right" vertical="top"/>
    </xf>
    <xf numFmtId="2" fontId="28" fillId="47" borderId="9" xfId="0" applyNumberFormat="1" applyFont="1" applyFill="1" applyBorder="1" applyAlignment="1" applyProtection="1">
      <alignment horizontal="center" vertical="center"/>
      <protection locked="0"/>
    </xf>
    <xf numFmtId="0" fontId="2" fillId="37" borderId="28" xfId="0" applyFont="1" applyFill="1" applyBorder="1" applyProtection="1">
      <protection locked="0"/>
    </xf>
    <xf numFmtId="0" fontId="42" fillId="13" borderId="47" xfId="0" applyFont="1" applyFill="1" applyBorder="1" applyAlignment="1">
      <alignment horizontal="center" vertical="center"/>
    </xf>
    <xf numFmtId="174" fontId="38" fillId="15" borderId="13" xfId="0" applyNumberFormat="1" applyFont="1" applyFill="1" applyBorder="1" applyAlignment="1">
      <alignment horizontal="center" vertical="center"/>
    </xf>
    <xf numFmtId="0" fontId="42" fillId="13" borderId="9" xfId="0" applyFont="1" applyFill="1" applyBorder="1" applyAlignment="1">
      <alignment horizontal="right" vertical="center"/>
    </xf>
    <xf numFmtId="44" fontId="27" fillId="20" borderId="13" xfId="0" applyNumberFormat="1" applyFont="1" applyFill="1" applyBorder="1" applyAlignment="1">
      <alignment horizontal="center" vertical="center"/>
    </xf>
    <xf numFmtId="44" fontId="27" fillId="21" borderId="19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20" xfId="0" applyFont="1" applyFill="1" applyBorder="1" applyProtection="1">
      <protection locked="0"/>
    </xf>
    <xf numFmtId="0" fontId="2" fillId="3" borderId="65" xfId="0" applyFont="1" applyFill="1" applyBorder="1" applyProtection="1">
      <protection locked="0"/>
    </xf>
    <xf numFmtId="44" fontId="27" fillId="15" borderId="64" xfId="0" applyNumberFormat="1" applyFont="1" applyFill="1" applyBorder="1" applyAlignment="1">
      <alignment horizontal="center" vertical="center"/>
    </xf>
    <xf numFmtId="2" fontId="29" fillId="4" borderId="13" xfId="0" applyNumberFormat="1" applyFont="1" applyFill="1" applyBorder="1" applyAlignment="1">
      <alignment horizontal="center" vertical="center"/>
    </xf>
    <xf numFmtId="44" fontId="27" fillId="49" borderId="9" xfId="0" applyNumberFormat="1" applyFont="1" applyFill="1" applyBorder="1" applyAlignment="1">
      <alignment vertical="center"/>
    </xf>
    <xf numFmtId="0" fontId="2" fillId="37" borderId="26" xfId="0" applyFont="1" applyFill="1" applyBorder="1"/>
    <xf numFmtId="0" fontId="2" fillId="37" borderId="28" xfId="0" applyFont="1" applyFill="1" applyBorder="1"/>
    <xf numFmtId="44" fontId="27" fillId="15" borderId="13" xfId="0" applyNumberFormat="1" applyFont="1" applyFill="1" applyBorder="1" applyAlignment="1">
      <alignment horizontal="center" vertical="center"/>
    </xf>
    <xf numFmtId="0" fontId="34" fillId="13" borderId="47" xfId="0" applyFont="1" applyFill="1" applyBorder="1" applyAlignment="1">
      <alignment horizontal="center" vertical="center"/>
    </xf>
    <xf numFmtId="0" fontId="27" fillId="19" borderId="13" xfId="0" applyFont="1" applyFill="1" applyBorder="1" applyAlignment="1">
      <alignment horizontal="center"/>
    </xf>
    <xf numFmtId="44" fontId="27" fillId="17" borderId="13" xfId="0" applyNumberFormat="1" applyFont="1" applyFill="1" applyBorder="1" applyAlignment="1" applyProtection="1">
      <alignment horizontal="center" vertical="center" wrapText="1"/>
      <protection locked="0"/>
    </xf>
    <xf numFmtId="44" fontId="42" fillId="10" borderId="13" xfId="0" applyNumberFormat="1" applyFont="1" applyFill="1" applyBorder="1" applyAlignment="1">
      <alignment horizontal="center" vertical="center"/>
    </xf>
    <xf numFmtId="0" fontId="46" fillId="22" borderId="48" xfId="0" applyFont="1" applyFill="1" applyBorder="1" applyAlignment="1">
      <alignment horizontal="center" vertical="center"/>
    </xf>
    <xf numFmtId="0" fontId="20" fillId="23" borderId="56" xfId="0" applyFont="1" applyFill="1" applyBorder="1" applyAlignment="1">
      <alignment horizontal="center" vertical="center"/>
    </xf>
    <xf numFmtId="0" fontId="47" fillId="24" borderId="58" xfId="0" applyFont="1" applyFill="1" applyBorder="1" applyAlignment="1">
      <alignment horizontal="center" vertical="center"/>
    </xf>
    <xf numFmtId="0" fontId="29" fillId="24" borderId="47" xfId="0" applyFont="1" applyFill="1" applyBorder="1" applyAlignment="1">
      <alignment horizontal="right" vertical="center"/>
    </xf>
    <xf numFmtId="0" fontId="50" fillId="25" borderId="26" xfId="0" applyFont="1" applyFill="1" applyBorder="1" applyAlignment="1">
      <alignment horizontal="center" vertical="center"/>
    </xf>
    <xf numFmtId="44" fontId="38" fillId="15" borderId="13" xfId="0" applyNumberFormat="1" applyFont="1" applyFill="1" applyBorder="1" applyAlignment="1">
      <alignment horizontal="center" vertical="center"/>
    </xf>
    <xf numFmtId="0" fontId="55" fillId="50" borderId="13" xfId="0" applyFont="1" applyFill="1" applyBorder="1" applyAlignment="1" applyProtection="1">
      <alignment vertical="center"/>
      <protection locked="0"/>
    </xf>
    <xf numFmtId="0" fontId="55" fillId="51" borderId="13" xfId="0" applyFont="1" applyFill="1" applyBorder="1" applyAlignment="1" applyProtection="1">
      <alignment vertical="center"/>
      <protection locked="0"/>
    </xf>
    <xf numFmtId="0" fontId="55" fillId="50" borderId="13" xfId="0" applyFont="1" applyFill="1" applyBorder="1" applyAlignment="1" applyProtection="1">
      <alignment horizontal="left" vertical="center"/>
      <protection locked="0"/>
    </xf>
    <xf numFmtId="0" fontId="56" fillId="24" borderId="9" xfId="0" applyFont="1" applyFill="1" applyBorder="1" applyAlignment="1">
      <alignment horizontal="center" vertical="center"/>
    </xf>
    <xf numFmtId="0" fontId="47" fillId="24" borderId="62" xfId="0" applyFont="1" applyFill="1" applyBorder="1" applyAlignment="1">
      <alignment horizontal="center" vertical="center"/>
    </xf>
    <xf numFmtId="0" fontId="51" fillId="23" borderId="64" xfId="0" applyFont="1" applyFill="1" applyBorder="1" applyAlignment="1">
      <alignment horizontal="center"/>
    </xf>
    <xf numFmtId="0" fontId="51" fillId="23" borderId="13" xfId="0" applyFont="1" applyFill="1" applyBorder="1" applyAlignment="1">
      <alignment horizontal="center"/>
    </xf>
    <xf numFmtId="0" fontId="52" fillId="24" borderId="8" xfId="0" applyFont="1" applyFill="1" applyBorder="1" applyAlignment="1">
      <alignment horizontal="center" vertical="center"/>
    </xf>
    <xf numFmtId="0" fontId="2" fillId="3" borderId="61" xfId="0" applyFont="1" applyFill="1" applyBorder="1"/>
    <xf numFmtId="0" fontId="52" fillId="24" borderId="60" xfId="0" applyFont="1" applyFill="1" applyBorder="1" applyAlignment="1">
      <alignment horizontal="center" vertical="center"/>
    </xf>
    <xf numFmtId="0" fontId="5" fillId="24" borderId="47" xfId="0" applyFont="1" applyFill="1" applyBorder="1" applyAlignment="1">
      <alignment horizontal="right" vertical="center"/>
    </xf>
    <xf numFmtId="0" fontId="53" fillId="24" borderId="26" xfId="0" applyFont="1" applyFill="1" applyBorder="1" applyAlignment="1">
      <alignment horizontal="center" vertical="center"/>
    </xf>
    <xf numFmtId="0" fontId="5" fillId="24" borderId="9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mailto:_NewportBeach-BrokerAdmin@lee-associates.com?subject=Invoice%20Requested%20-%20Voucher%20Attache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0</xdr:row>
      <xdr:rowOff>0</xdr:rowOff>
    </xdr:from>
    <xdr:ext cx="738554" cy="233262"/>
    <xdr:pic macro="[0]!aaaaSendEmailWithAttachment">
      <xdr:nvPicPr>
        <xdr:cNvPr id="5" name="image1.png">
          <a:hlinkClick xmlns:r="http://schemas.openxmlformats.org/officeDocument/2006/relationships" r:id="rId1" tooltip="Email to Broker Admin"/>
          <a:extLst>
            <a:ext uri="{FF2B5EF4-FFF2-40B4-BE49-F238E27FC236}">
              <a16:creationId xmlns:a16="http://schemas.microsoft.com/office/drawing/2014/main" id="{F40475E9-79BD-45F3-922F-AE3B7926ADB0}"/>
            </a:ext>
          </a:extLst>
        </xdr:cNvPr>
        <xdr:cNvPicPr preferRelativeResize="0">
          <a:picLocks noChangeAspect="1"/>
        </xdr:cNvPicPr>
      </xdr:nvPicPr>
      <xdr:blipFill rotWithShape="1">
        <a:blip xmlns:r="http://schemas.openxmlformats.org/officeDocument/2006/relationships" r:embed="rId2" cstate="print"/>
        <a:srcRect l="788"/>
        <a:stretch/>
      </xdr:blipFill>
      <xdr:spPr>
        <a:xfrm>
          <a:off x="6389077" y="0"/>
          <a:ext cx="738554" cy="233262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356E7CA-1AEA-B044-910B-22F44B0B81B6}">
  <we:reference id="WA200009404" version="1.0.0.8" store="Omex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997"/>
  <sheetViews>
    <sheetView showGridLines="0" tabSelected="1" topLeftCell="A128" zoomScale="125" zoomScaleNormal="130" workbookViewId="0">
      <selection activeCell="O9" sqref="O9"/>
    </sheetView>
  </sheetViews>
  <sheetFormatPr baseColWidth="10" defaultColWidth="12.6640625" defaultRowHeight="15" customHeight="1" x14ac:dyDescent="0.15"/>
  <cols>
    <col min="1" max="1" width="4.5" style="4" customWidth="1"/>
    <col min="2" max="2" width="13.83203125" style="4" bestFit="1" customWidth="1"/>
    <col min="3" max="3" width="9.5" style="4" customWidth="1"/>
    <col min="4" max="4" width="9.6640625" style="4" customWidth="1"/>
    <col min="5" max="5" width="8.6640625" style="4" customWidth="1"/>
    <col min="6" max="6" width="10.5" style="4" customWidth="1"/>
    <col min="7" max="7" width="11.5" style="4" customWidth="1"/>
    <col min="8" max="9" width="0.5" style="4" customWidth="1"/>
    <col min="10" max="10" width="11" style="4" customWidth="1"/>
    <col min="11" max="11" width="11.33203125" style="4" customWidth="1"/>
    <col min="12" max="12" width="11.5" style="4" customWidth="1"/>
    <col min="13" max="13" width="9" style="4" customWidth="1"/>
    <col min="14" max="14" width="11.6640625" style="4" customWidth="1"/>
    <col min="15" max="26" width="9.1640625" style="4" customWidth="1"/>
    <col min="27" max="16384" width="12.6640625" style="4"/>
  </cols>
  <sheetData>
    <row r="1" spans="1:26" ht="10.25" customHeight="1" x14ac:dyDescent="0.15">
      <c r="A1" s="311" t="s">
        <v>0</v>
      </c>
      <c r="B1" s="312"/>
      <c r="C1" s="312"/>
      <c r="D1" s="312"/>
      <c r="E1" s="312"/>
      <c r="F1" s="312"/>
      <c r="G1" s="312"/>
      <c r="H1" s="312"/>
      <c r="I1" s="1"/>
      <c r="J1" s="314" t="s">
        <v>1</v>
      </c>
      <c r="K1" s="315"/>
      <c r="L1" s="318"/>
      <c r="M1" s="2"/>
      <c r="N1" s="171" t="s">
        <v>2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0.25" customHeight="1" thickBot="1" x14ac:dyDescent="0.2">
      <c r="A2" s="313"/>
      <c r="B2" s="211"/>
      <c r="C2" s="211"/>
      <c r="D2" s="211"/>
      <c r="E2" s="211"/>
      <c r="F2" s="211"/>
      <c r="G2" s="211"/>
      <c r="H2" s="211"/>
      <c r="I2" s="5"/>
      <c r="J2" s="316"/>
      <c r="K2" s="317"/>
      <c r="L2" s="319"/>
      <c r="M2" s="6"/>
      <c r="N2" s="172">
        <f ca="1">TODAY()</f>
        <v>46122</v>
      </c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4.25" customHeight="1" x14ac:dyDescent="0.15">
      <c r="A3" s="320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customHeight="1" x14ac:dyDescent="0.15">
      <c r="A4" s="321" t="s">
        <v>3</v>
      </c>
      <c r="B4" s="192"/>
      <c r="C4" s="184"/>
      <c r="D4" s="322"/>
      <c r="E4" s="186"/>
      <c r="F4" s="7" t="s">
        <v>4</v>
      </c>
      <c r="G4" s="123"/>
      <c r="H4" s="323" t="s">
        <v>5</v>
      </c>
      <c r="I4" s="192"/>
      <c r="J4" s="184"/>
      <c r="K4" s="8"/>
      <c r="L4" s="323" t="s">
        <v>6</v>
      </c>
      <c r="M4" s="184"/>
      <c r="N4" s="9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3.75" customHeight="1" x14ac:dyDescent="0.15">
      <c r="A5" s="194"/>
      <c r="B5" s="192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3.5" customHeight="1" x14ac:dyDescent="0.15">
      <c r="A6" s="326" t="s">
        <v>7</v>
      </c>
      <c r="B6" s="192"/>
      <c r="C6" s="192"/>
      <c r="D6" s="192"/>
      <c r="E6" s="327"/>
      <c r="F6" s="220"/>
      <c r="G6" s="220"/>
      <c r="H6" s="220"/>
      <c r="I6" s="220"/>
      <c r="J6" s="220"/>
      <c r="K6" s="220"/>
      <c r="L6" s="220"/>
      <c r="M6" s="328"/>
      <c r="N6" s="11"/>
      <c r="O6" s="3"/>
      <c r="P6" s="174" t="s">
        <v>8</v>
      </c>
      <c r="Q6" s="175"/>
      <c r="R6" s="176"/>
      <c r="S6" s="3"/>
      <c r="T6" s="3"/>
      <c r="U6" s="3"/>
      <c r="V6" s="3"/>
      <c r="W6" s="3"/>
      <c r="X6" s="3"/>
      <c r="Y6" s="3"/>
      <c r="Z6" s="3"/>
    </row>
    <row r="7" spans="1:26" ht="4.25" customHeight="1" x14ac:dyDescent="0.15">
      <c r="A7" s="194"/>
      <c r="B7" s="192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3"/>
      <c r="O7" s="3"/>
      <c r="P7" s="177"/>
      <c r="Q7" s="178"/>
      <c r="R7" s="179"/>
      <c r="S7" s="3"/>
      <c r="T7" s="3"/>
      <c r="U7" s="3"/>
      <c r="V7" s="3"/>
      <c r="W7" s="3"/>
      <c r="X7" s="3"/>
      <c r="Y7" s="3"/>
      <c r="Z7" s="3"/>
    </row>
    <row r="8" spans="1:26" ht="13" x14ac:dyDescent="0.15">
      <c r="A8" s="10"/>
      <c r="B8" s="324" t="s">
        <v>9</v>
      </c>
      <c r="C8" s="233"/>
      <c r="D8" s="233"/>
      <c r="E8" s="233"/>
      <c r="F8" s="233"/>
      <c r="G8" s="233"/>
      <c r="H8" s="233"/>
      <c r="I8" s="253"/>
      <c r="J8" s="12"/>
      <c r="K8" s="324" t="s">
        <v>10</v>
      </c>
      <c r="L8" s="253"/>
      <c r="M8" s="12"/>
      <c r="N8" s="13" t="s">
        <v>11</v>
      </c>
      <c r="O8" s="3"/>
      <c r="P8" s="177"/>
      <c r="Q8" s="178"/>
      <c r="R8" s="179"/>
      <c r="S8" s="3"/>
      <c r="T8" s="3"/>
      <c r="U8" s="3"/>
      <c r="V8" s="3"/>
      <c r="W8" s="3"/>
      <c r="X8" s="3"/>
      <c r="Y8" s="3"/>
      <c r="Z8" s="3"/>
    </row>
    <row r="9" spans="1:26" ht="13" x14ac:dyDescent="0.15">
      <c r="A9" s="14"/>
      <c r="B9" s="325"/>
      <c r="C9" s="329"/>
      <c r="D9" s="329"/>
      <c r="E9" s="329"/>
      <c r="F9" s="329"/>
      <c r="G9" s="329"/>
      <c r="H9" s="329"/>
      <c r="I9" s="330"/>
      <c r="J9" s="15"/>
      <c r="K9" s="325"/>
      <c r="L9" s="186"/>
      <c r="M9" s="16"/>
      <c r="N9" s="124"/>
      <c r="O9" s="3"/>
      <c r="P9" s="180"/>
      <c r="Q9" s="181"/>
      <c r="R9" s="182"/>
      <c r="S9" s="3"/>
      <c r="T9" s="3"/>
      <c r="U9" s="3"/>
      <c r="V9" s="3"/>
      <c r="W9" s="3"/>
      <c r="X9" s="3"/>
      <c r="Y9" s="3"/>
      <c r="Z9" s="3"/>
    </row>
    <row r="10" spans="1:26" ht="2.25" customHeight="1" x14ac:dyDescent="0.15">
      <c r="A10" s="194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" customHeight="1" x14ac:dyDescent="0.15">
      <c r="A11" s="17"/>
      <c r="B11" s="195" t="s">
        <v>12</v>
      </c>
      <c r="C11" s="192"/>
      <c r="D11" s="192"/>
      <c r="E11" s="192"/>
      <c r="F11" s="184"/>
      <c r="G11" s="169"/>
      <c r="H11" s="18"/>
      <c r="I11" s="18"/>
      <c r="J11" s="195" t="s">
        <v>13</v>
      </c>
      <c r="K11" s="192"/>
      <c r="L11" s="192"/>
      <c r="M11" s="192"/>
      <c r="N11" s="170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" customHeight="1" x14ac:dyDescent="0.15">
      <c r="A12" s="196" t="s">
        <v>14</v>
      </c>
      <c r="B12" s="192"/>
      <c r="C12" s="197"/>
      <c r="D12" s="188"/>
      <c r="E12" s="188"/>
      <c r="F12" s="188"/>
      <c r="G12" s="186"/>
      <c r="H12" s="198" t="s">
        <v>15</v>
      </c>
      <c r="I12" s="192"/>
      <c r="J12" s="192"/>
      <c r="K12" s="197"/>
      <c r="L12" s="188"/>
      <c r="M12" s="188"/>
      <c r="N12" s="199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" customHeight="1" x14ac:dyDescent="0.15">
      <c r="A13" s="203" t="s">
        <v>16</v>
      </c>
      <c r="B13" s="192"/>
      <c r="C13" s="201"/>
      <c r="D13" s="188"/>
      <c r="E13" s="188"/>
      <c r="F13" s="188"/>
      <c r="G13" s="186"/>
      <c r="H13" s="19"/>
      <c r="I13" s="19"/>
      <c r="J13" s="20" t="s">
        <v>16</v>
      </c>
      <c r="K13" s="201"/>
      <c r="L13" s="188"/>
      <c r="M13" s="188"/>
      <c r="N13" s="199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customHeight="1" x14ac:dyDescent="0.15">
      <c r="A14" s="203" t="s">
        <v>17</v>
      </c>
      <c r="B14" s="192"/>
      <c r="C14" s="331"/>
      <c r="D14" s="188"/>
      <c r="E14" s="188"/>
      <c r="F14" s="188"/>
      <c r="G14" s="186"/>
      <c r="H14" s="21"/>
      <c r="I14" s="21"/>
      <c r="J14" s="20" t="s">
        <v>17</v>
      </c>
      <c r="K14" s="200"/>
      <c r="L14" s="188"/>
      <c r="M14" s="188"/>
      <c r="N14" s="199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customHeight="1" x14ac:dyDescent="0.15">
      <c r="A15" s="203" t="s">
        <v>18</v>
      </c>
      <c r="B15" s="192"/>
      <c r="C15" s="201"/>
      <c r="D15" s="188"/>
      <c r="E15" s="188"/>
      <c r="F15" s="188"/>
      <c r="G15" s="186"/>
      <c r="H15" s="21"/>
      <c r="I15" s="21"/>
      <c r="J15" s="20" t="s">
        <v>18</v>
      </c>
      <c r="K15" s="201"/>
      <c r="L15" s="188"/>
      <c r="M15" s="188"/>
      <c r="N15" s="199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customHeight="1" x14ac:dyDescent="0.15">
      <c r="A16" s="203" t="s">
        <v>10</v>
      </c>
      <c r="B16" s="184"/>
      <c r="C16" s="201"/>
      <c r="D16" s="188"/>
      <c r="E16" s="188"/>
      <c r="F16" s="188"/>
      <c r="G16" s="186"/>
      <c r="H16" s="21"/>
      <c r="I16" s="21"/>
      <c r="J16" s="20" t="s">
        <v>10</v>
      </c>
      <c r="K16" s="201"/>
      <c r="L16" s="188"/>
      <c r="M16" s="188"/>
      <c r="N16" s="199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" customHeight="1" x14ac:dyDescent="0.15">
      <c r="A17" s="203" t="s">
        <v>19</v>
      </c>
      <c r="B17" s="192"/>
      <c r="C17" s="332"/>
      <c r="D17" s="226"/>
      <c r="E17" s="20" t="s">
        <v>20</v>
      </c>
      <c r="F17" s="333"/>
      <c r="G17" s="186"/>
      <c r="H17" s="21"/>
      <c r="I17" s="21"/>
      <c r="J17" s="20" t="s">
        <v>19</v>
      </c>
      <c r="K17" s="201"/>
      <c r="L17" s="186"/>
      <c r="M17" s="20" t="s">
        <v>20</v>
      </c>
      <c r="N17" s="125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" customHeight="1" x14ac:dyDescent="0.15">
      <c r="A18" s="203" t="s">
        <v>21</v>
      </c>
      <c r="B18" s="192"/>
      <c r="C18" s="201"/>
      <c r="D18" s="188"/>
      <c r="E18" s="188"/>
      <c r="F18" s="188"/>
      <c r="G18" s="186"/>
      <c r="H18" s="21"/>
      <c r="I18" s="21"/>
      <c r="J18" s="20" t="s">
        <v>21</v>
      </c>
      <c r="K18" s="202"/>
      <c r="L18" s="188"/>
      <c r="M18" s="188"/>
      <c r="N18" s="199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4.25" customHeight="1" thickBot="1" x14ac:dyDescent="0.2">
      <c r="A19" s="353"/>
      <c r="B19" s="192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" customHeight="1" thickBot="1" x14ac:dyDescent="0.2">
      <c r="A20" s="354" t="s">
        <v>22</v>
      </c>
      <c r="B20" s="355"/>
      <c r="C20" s="355"/>
      <c r="D20" s="355"/>
      <c r="E20" s="355"/>
      <c r="F20" s="355"/>
      <c r="G20" s="355"/>
      <c r="H20" s="355"/>
      <c r="I20" s="355"/>
      <c r="J20" s="355"/>
      <c r="K20" s="355"/>
      <c r="L20" s="355"/>
      <c r="M20" s="355"/>
      <c r="N20" s="356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3.75" customHeight="1" x14ac:dyDescent="0.15">
      <c r="A21" s="357"/>
      <c r="B21" s="312"/>
      <c r="C21" s="312"/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58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" customHeight="1" x14ac:dyDescent="0.15">
      <c r="A22" s="22"/>
      <c r="B22" s="23" t="s">
        <v>23</v>
      </c>
      <c r="C22" s="128"/>
      <c r="D22" s="23" t="s">
        <v>24</v>
      </c>
      <c r="E22" s="132"/>
      <c r="F22" s="23" t="s">
        <v>25</v>
      </c>
      <c r="G22" s="359"/>
      <c r="H22" s="360"/>
      <c r="I22" s="361"/>
      <c r="J22" s="24"/>
      <c r="K22" s="24" t="s">
        <v>26</v>
      </c>
      <c r="L22" s="362"/>
      <c r="M22" s="363"/>
      <c r="N22" s="25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5" customHeight="1" x14ac:dyDescent="0.15">
      <c r="A23" s="22"/>
      <c r="B23" s="23" t="s">
        <v>27</v>
      </c>
      <c r="C23" s="126"/>
      <c r="D23" s="23" t="s">
        <v>28</v>
      </c>
      <c r="E23" s="133"/>
      <c r="F23" s="23" t="s">
        <v>29</v>
      </c>
      <c r="G23" s="344"/>
      <c r="H23" s="345"/>
      <c r="I23" s="346"/>
      <c r="J23" s="23" t="s">
        <v>30</v>
      </c>
      <c r="K23" s="139"/>
      <c r="L23" s="23" t="s">
        <v>31</v>
      </c>
      <c r="M23" s="126"/>
      <c r="N23" s="25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5" customHeight="1" x14ac:dyDescent="0.15">
      <c r="A24" s="27"/>
      <c r="B24" s="23" t="s">
        <v>32</v>
      </c>
      <c r="C24" s="126"/>
      <c r="D24" s="23" t="s">
        <v>33</v>
      </c>
      <c r="E24" s="126"/>
      <c r="F24" s="23" t="s">
        <v>34</v>
      </c>
      <c r="G24" s="347"/>
      <c r="H24" s="348"/>
      <c r="I24" s="349"/>
      <c r="J24" s="23" t="s">
        <v>35</v>
      </c>
      <c r="K24" s="126"/>
      <c r="L24" s="23" t="s">
        <v>36</v>
      </c>
      <c r="M24" s="134"/>
      <c r="N24" s="25"/>
      <c r="O24" s="26"/>
      <c r="P24" s="26"/>
      <c r="S24" s="26"/>
      <c r="T24" s="26"/>
      <c r="U24" s="26"/>
      <c r="V24" s="26"/>
      <c r="W24" s="26"/>
      <c r="X24" s="26"/>
      <c r="Y24" s="26"/>
      <c r="Z24" s="26"/>
    </row>
    <row r="25" spans="1:26" ht="15" customHeight="1" x14ac:dyDescent="0.15">
      <c r="A25" s="28"/>
      <c r="B25" s="23" t="s">
        <v>37</v>
      </c>
      <c r="C25" s="127"/>
      <c r="D25" s="23" t="s">
        <v>38</v>
      </c>
      <c r="E25" s="135"/>
      <c r="F25" s="23" t="s">
        <v>39</v>
      </c>
      <c r="G25" s="350"/>
      <c r="H25" s="351"/>
      <c r="I25" s="352"/>
      <c r="J25" s="23" t="s">
        <v>40</v>
      </c>
      <c r="K25" s="129"/>
      <c r="L25" s="23" t="s">
        <v>41</v>
      </c>
      <c r="M25" s="142"/>
      <c r="N25" s="25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" customHeight="1" x14ac:dyDescent="0.15">
      <c r="A26" s="29"/>
      <c r="B26" s="23" t="s">
        <v>42</v>
      </c>
      <c r="C26" s="129"/>
      <c r="D26" s="23" t="s">
        <v>43</v>
      </c>
      <c r="E26" s="129"/>
      <c r="F26" s="23" t="s">
        <v>44</v>
      </c>
      <c r="G26" s="334"/>
      <c r="H26" s="335"/>
      <c r="I26" s="336"/>
      <c r="J26" s="23" t="s">
        <v>45</v>
      </c>
      <c r="K26" s="140"/>
      <c r="L26" s="23" t="s">
        <v>46</v>
      </c>
      <c r="M26" s="140"/>
      <c r="N26" s="25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" customHeight="1" x14ac:dyDescent="0.15">
      <c r="A27" s="27"/>
      <c r="B27" s="23" t="s">
        <v>47</v>
      </c>
      <c r="C27" s="138"/>
      <c r="D27" s="23" t="s">
        <v>48</v>
      </c>
      <c r="E27" s="136"/>
      <c r="F27" s="23" t="s">
        <v>49</v>
      </c>
      <c r="G27" s="337"/>
      <c r="H27" s="335"/>
      <c r="I27" s="336"/>
      <c r="J27" s="23" t="s">
        <v>50</v>
      </c>
      <c r="K27" s="141"/>
      <c r="L27" s="23" t="s">
        <v>51</v>
      </c>
      <c r="M27" s="141"/>
      <c r="N27" s="25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5" customHeight="1" x14ac:dyDescent="0.15">
      <c r="A28" s="30"/>
      <c r="B28" s="23" t="s">
        <v>52</v>
      </c>
      <c r="C28" s="130"/>
      <c r="D28" s="31" t="s">
        <v>53</v>
      </c>
      <c r="E28" s="137"/>
      <c r="F28" s="31" t="s">
        <v>54</v>
      </c>
      <c r="G28" s="338"/>
      <c r="H28" s="339"/>
      <c r="I28" s="340"/>
      <c r="J28" s="31" t="s">
        <v>55</v>
      </c>
      <c r="K28" s="131"/>
      <c r="L28" s="32" t="s">
        <v>56</v>
      </c>
      <c r="M28" s="137"/>
      <c r="N28" s="25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5" customHeight="1" x14ac:dyDescent="0.15">
      <c r="A29" s="30"/>
      <c r="B29" s="23" t="s">
        <v>57</v>
      </c>
      <c r="C29" s="131"/>
      <c r="D29" s="31" t="s">
        <v>58</v>
      </c>
      <c r="E29" s="131"/>
      <c r="F29" s="31" t="s">
        <v>59</v>
      </c>
      <c r="G29" s="341"/>
      <c r="H29" s="342"/>
      <c r="I29" s="343"/>
      <c r="J29" s="31" t="s">
        <v>60</v>
      </c>
      <c r="K29" s="131"/>
      <c r="L29" s="31" t="s">
        <v>61</v>
      </c>
      <c r="M29" s="131"/>
      <c r="N29" s="25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4.25" customHeight="1" thickBot="1" x14ac:dyDescent="0.2">
      <c r="A30" s="371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3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9.75" customHeight="1" thickBot="1" x14ac:dyDescent="0.2">
      <c r="A31" s="372" t="s">
        <v>62</v>
      </c>
      <c r="B31" s="373"/>
      <c r="C31" s="373"/>
      <c r="D31" s="373"/>
      <c r="E31" s="373"/>
      <c r="F31" s="373"/>
      <c r="G31" s="373"/>
      <c r="H31" s="373"/>
      <c r="I31" s="373"/>
      <c r="J31" s="373"/>
      <c r="K31" s="373"/>
      <c r="L31" s="373"/>
      <c r="M31" s="373"/>
      <c r="N31" s="374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0.25" customHeight="1" x14ac:dyDescent="0.15">
      <c r="A32" s="390"/>
      <c r="B32" s="391"/>
      <c r="C32" s="391"/>
      <c r="D32" s="391"/>
      <c r="E32" s="391"/>
      <c r="F32" s="391"/>
      <c r="G32" s="391"/>
      <c r="H32" s="391"/>
      <c r="I32" s="391"/>
      <c r="J32" s="391"/>
      <c r="K32" s="391"/>
      <c r="L32" s="391"/>
      <c r="M32" s="391"/>
      <c r="N32" s="392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0.25" customHeight="1" thickBot="1" x14ac:dyDescent="0.2">
      <c r="A33" s="393"/>
      <c r="B33" s="394"/>
      <c r="C33" s="394"/>
      <c r="D33" s="394"/>
      <c r="E33" s="394"/>
      <c r="F33" s="394"/>
      <c r="G33" s="394"/>
      <c r="H33" s="394"/>
      <c r="I33" s="394"/>
      <c r="J33" s="394"/>
      <c r="K33" s="394"/>
      <c r="L33" s="394"/>
      <c r="M33" s="394"/>
      <c r="N33" s="395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s="34" customFormat="1" ht="14" customHeight="1" thickBot="1" x14ac:dyDescent="0.2">
      <c r="A34" s="375" t="s">
        <v>63</v>
      </c>
      <c r="B34" s="376"/>
      <c r="C34" s="376"/>
      <c r="D34" s="376"/>
      <c r="E34" s="376"/>
      <c r="F34" s="376"/>
      <c r="G34" s="376"/>
      <c r="H34" s="376"/>
      <c r="I34" s="376"/>
      <c r="J34" s="377"/>
      <c r="K34" s="378" t="s">
        <v>64</v>
      </c>
      <c r="L34" s="376"/>
      <c r="M34" s="376"/>
      <c r="N34" s="379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4.25" customHeight="1" x14ac:dyDescent="0.15">
      <c r="A35" s="383"/>
      <c r="B35" s="240"/>
      <c r="C35" s="240"/>
      <c r="D35" s="240"/>
      <c r="E35" s="240"/>
      <c r="F35" s="240"/>
      <c r="G35" s="240"/>
      <c r="H35" s="240"/>
      <c r="I35" s="240"/>
      <c r="J35" s="384"/>
      <c r="K35" s="385"/>
      <c r="L35" s="240"/>
      <c r="M35" s="240"/>
      <c r="N35" s="241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" customHeight="1" x14ac:dyDescent="0.15">
      <c r="A36" s="35"/>
      <c r="B36" s="36" t="s">
        <v>27</v>
      </c>
      <c r="C36" s="37">
        <f>C23</f>
        <v>0</v>
      </c>
      <c r="D36" s="36" t="s">
        <v>65</v>
      </c>
      <c r="E36" s="381"/>
      <c r="F36" s="186"/>
      <c r="G36" s="36" t="s">
        <v>66</v>
      </c>
      <c r="H36" s="381"/>
      <c r="I36" s="188"/>
      <c r="J36" s="188"/>
      <c r="K36" s="38"/>
      <c r="L36" s="39" t="s">
        <v>67</v>
      </c>
      <c r="M36" s="386"/>
      <c r="N36" s="199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" customHeight="1" x14ac:dyDescent="0.15">
      <c r="A37" s="380" t="s">
        <v>68</v>
      </c>
      <c r="B37" s="192"/>
      <c r="C37" s="192"/>
      <c r="D37" s="40"/>
      <c r="E37" s="40" t="s">
        <v>69</v>
      </c>
      <c r="F37" s="387" t="s">
        <v>67</v>
      </c>
      <c r="G37" s="192"/>
      <c r="H37" s="41"/>
      <c r="I37" s="41"/>
      <c r="J37" s="40" t="s">
        <v>70</v>
      </c>
      <c r="K37" s="38"/>
      <c r="L37" s="39" t="s">
        <v>71</v>
      </c>
      <c r="M37" s="388" t="str">
        <f>IFERROR(M36/C36,"N/A")</f>
        <v>N/A</v>
      </c>
      <c r="N37" s="221"/>
      <c r="O37" s="3"/>
      <c r="P37" s="3"/>
      <c r="Q37" s="3"/>
      <c r="R37" s="3"/>
      <c r="S37" s="3"/>
      <c r="T37" s="42"/>
      <c r="U37" s="3"/>
      <c r="V37" s="3"/>
      <c r="W37" s="3"/>
      <c r="X37" s="3"/>
      <c r="Y37" s="3"/>
      <c r="Z37" s="3"/>
    </row>
    <row r="38" spans="1:26" ht="15" customHeight="1" x14ac:dyDescent="0.15">
      <c r="A38" s="35"/>
      <c r="B38" s="381"/>
      <c r="C38" s="186"/>
      <c r="D38" s="43"/>
      <c r="E38" s="44"/>
      <c r="F38" s="382" t="e">
        <f>F68</f>
        <v>#DIV/0!</v>
      </c>
      <c r="G38" s="253"/>
      <c r="H38" s="45"/>
      <c r="I38" s="45"/>
      <c r="J38" s="153"/>
      <c r="K38" s="38"/>
      <c r="L38" s="39" t="s">
        <v>72</v>
      </c>
      <c r="M38" s="389" t="str">
        <f>IFERROR(M36/M23,"N/A")</f>
        <v>N/A</v>
      </c>
      <c r="N38" s="221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3.75" customHeight="1" x14ac:dyDescent="0.15">
      <c r="A39" s="364"/>
      <c r="B39" s="192"/>
      <c r="C39" s="192"/>
      <c r="D39" s="192"/>
      <c r="E39" s="192"/>
      <c r="F39" s="192"/>
      <c r="G39" s="192"/>
      <c r="H39" s="192"/>
      <c r="I39" s="192"/>
      <c r="J39" s="365"/>
      <c r="K39" s="38"/>
      <c r="L39" s="39"/>
      <c r="M39" s="39"/>
      <c r="N39" s="46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" customHeight="1" x14ac:dyDescent="0.15">
      <c r="A40" s="35"/>
      <c r="B40" s="47" t="s">
        <v>73</v>
      </c>
      <c r="C40" s="144"/>
      <c r="D40" s="48"/>
      <c r="E40" s="47" t="s">
        <v>74</v>
      </c>
      <c r="F40" s="149"/>
      <c r="G40" s="366" t="s">
        <v>75</v>
      </c>
      <c r="H40" s="192"/>
      <c r="I40" s="184"/>
      <c r="J40" s="149"/>
      <c r="K40" s="38"/>
      <c r="L40" s="39" t="s">
        <v>76</v>
      </c>
      <c r="M40" s="367"/>
      <c r="N40" s="221"/>
      <c r="O40" s="3"/>
      <c r="P40" s="3"/>
      <c r="Q40" s="3"/>
      <c r="R40" s="3"/>
      <c r="S40" s="3"/>
      <c r="T40" s="49" t="s">
        <v>77</v>
      </c>
      <c r="U40" s="3"/>
      <c r="V40" s="3"/>
      <c r="W40" s="3"/>
      <c r="X40" s="3"/>
      <c r="Y40" s="3"/>
      <c r="Z40" s="3"/>
    </row>
    <row r="41" spans="1:26" ht="15" customHeight="1" x14ac:dyDescent="0.15">
      <c r="A41" s="35"/>
      <c r="B41" s="47" t="s">
        <v>78</v>
      </c>
      <c r="C41" s="145"/>
      <c r="D41" s="50"/>
      <c r="E41" s="47" t="s">
        <v>79</v>
      </c>
      <c r="F41" s="150"/>
      <c r="G41" s="368" t="s">
        <v>80</v>
      </c>
      <c r="H41" s="192"/>
      <c r="I41" s="184"/>
      <c r="J41" s="149"/>
      <c r="K41" s="38"/>
      <c r="L41" s="39" t="s">
        <v>81</v>
      </c>
      <c r="M41" s="408"/>
      <c r="N41" s="221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" customHeight="1" x14ac:dyDescent="0.15">
      <c r="A42" s="369" t="s">
        <v>82</v>
      </c>
      <c r="B42" s="184"/>
      <c r="C42" s="146"/>
      <c r="D42" s="51"/>
      <c r="E42" s="52" t="s">
        <v>83</v>
      </c>
      <c r="F42" s="151"/>
      <c r="G42" s="412" t="s">
        <v>84</v>
      </c>
      <c r="H42" s="192"/>
      <c r="I42" s="184"/>
      <c r="J42" s="154" t="str">
        <f>IF(C41="fsg",(F68/D68)/C36,"")</f>
        <v/>
      </c>
      <c r="K42" s="38"/>
      <c r="L42" s="39" t="s">
        <v>85</v>
      </c>
      <c r="M42" s="409"/>
      <c r="N42" s="199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" customHeight="1" x14ac:dyDescent="0.15">
      <c r="A43" s="403" t="s">
        <v>86</v>
      </c>
      <c r="B43" s="184"/>
      <c r="C43" s="147"/>
      <c r="D43" s="45"/>
      <c r="E43" s="53" t="s">
        <v>87</v>
      </c>
      <c r="F43" s="152">
        <f>F40+F42+F41</f>
        <v>0</v>
      </c>
      <c r="G43" s="412" t="s">
        <v>88</v>
      </c>
      <c r="H43" s="192"/>
      <c r="I43" s="184"/>
      <c r="J43" s="155" t="str">
        <f>IF(C41="ig",(F68/D68)/C36,"")</f>
        <v/>
      </c>
      <c r="K43" s="38"/>
      <c r="L43" s="39" t="s">
        <v>89</v>
      </c>
      <c r="M43" s="370"/>
      <c r="N43" s="199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" customHeight="1" x14ac:dyDescent="0.15">
      <c r="A44" s="54"/>
      <c r="B44" s="47" t="s">
        <v>90</v>
      </c>
      <c r="C44" s="148"/>
      <c r="D44" s="55"/>
      <c r="E44" s="56"/>
      <c r="F44" s="56"/>
      <c r="G44" s="413" t="s">
        <v>91</v>
      </c>
      <c r="H44" s="192"/>
      <c r="I44" s="184"/>
      <c r="J44" s="155" t="str">
        <f>IF(C41="NNN",(F68/D68)/C36,"")</f>
        <v/>
      </c>
      <c r="K44" s="38"/>
      <c r="L44" s="39" t="s">
        <v>92</v>
      </c>
      <c r="M44" s="410">
        <f>M43*M36</f>
        <v>0</v>
      </c>
      <c r="N44" s="234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2" customHeight="1" x14ac:dyDescent="0.15">
      <c r="A45" s="424"/>
      <c r="B45" s="192"/>
      <c r="C45" s="192"/>
      <c r="D45" s="192"/>
      <c r="E45" s="192"/>
      <c r="F45" s="192"/>
      <c r="G45" s="192"/>
      <c r="H45" s="192"/>
      <c r="I45" s="192"/>
      <c r="J45" s="365"/>
      <c r="K45" s="57"/>
      <c r="L45" s="39" t="s">
        <v>93</v>
      </c>
      <c r="M45" s="411"/>
      <c r="N45" s="199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" customHeight="1" x14ac:dyDescent="0.15">
      <c r="A46" s="403" t="s">
        <v>94</v>
      </c>
      <c r="B46" s="184"/>
      <c r="C46" s="404"/>
      <c r="D46" s="188"/>
      <c r="E46" s="188"/>
      <c r="F46" s="188"/>
      <c r="G46" s="186"/>
      <c r="H46" s="399"/>
      <c r="I46" s="192"/>
      <c r="J46" s="365"/>
      <c r="K46" s="400" t="s">
        <v>95</v>
      </c>
      <c r="L46" s="192"/>
      <c r="M46" s="192"/>
      <c r="N46" s="14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3.75" customHeight="1" x14ac:dyDescent="0.15">
      <c r="A47" s="364"/>
      <c r="B47" s="192"/>
      <c r="C47" s="192"/>
      <c r="D47" s="192"/>
      <c r="E47" s="192"/>
      <c r="F47" s="192"/>
      <c r="G47" s="192"/>
      <c r="H47" s="192"/>
      <c r="I47" s="192"/>
      <c r="J47" s="365"/>
      <c r="K47" s="401"/>
      <c r="L47" s="211"/>
      <c r="M47" s="211"/>
      <c r="N47" s="212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9" customHeight="1" x14ac:dyDescent="0.15">
      <c r="A48" s="402" t="s">
        <v>96</v>
      </c>
      <c r="B48" s="192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2" customHeight="1" x14ac:dyDescent="0.15">
      <c r="A49" s="414"/>
      <c r="B49" s="256"/>
      <c r="C49" s="256"/>
      <c r="D49" s="256"/>
      <c r="E49" s="256"/>
      <c r="F49" s="256"/>
      <c r="G49" s="256"/>
      <c r="H49" s="256"/>
      <c r="I49" s="256"/>
      <c r="J49" s="256"/>
      <c r="K49" s="256"/>
      <c r="L49" s="256"/>
      <c r="M49" s="256"/>
      <c r="N49" s="257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2" customHeight="1" x14ac:dyDescent="0.15">
      <c r="A50" s="415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7"/>
      <c r="O50" s="58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29.25" customHeight="1" x14ac:dyDescent="0.15">
      <c r="A51" s="422" t="s">
        <v>97</v>
      </c>
      <c r="B51" s="384"/>
      <c r="C51" s="418" t="s">
        <v>98</v>
      </c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8"/>
      <c r="O51" s="58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2" customHeight="1" x14ac:dyDescent="0.15">
      <c r="A52" s="313"/>
      <c r="B52" s="317"/>
      <c r="C52" s="59" t="s">
        <v>99</v>
      </c>
      <c r="D52" s="419" t="s">
        <v>69</v>
      </c>
      <c r="E52" s="420"/>
      <c r="F52" s="421" t="s">
        <v>100</v>
      </c>
      <c r="G52" s="237"/>
      <c r="H52" s="237"/>
      <c r="I52" s="237"/>
      <c r="J52" s="420"/>
      <c r="K52" s="60" t="s">
        <v>101</v>
      </c>
      <c r="L52" s="421" t="s">
        <v>102</v>
      </c>
      <c r="M52" s="237"/>
      <c r="N52" s="238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</row>
    <row r="53" spans="1:26" ht="13.25" customHeight="1" x14ac:dyDescent="0.15">
      <c r="A53" s="423">
        <v>10000</v>
      </c>
      <c r="B53" s="229"/>
      <c r="C53" s="156" t="e">
        <f t="shared" ref="C53:C67" si="0">IF(A53&gt;0,A53/$C$36,"")</f>
        <v>#DIV/0!</v>
      </c>
      <c r="D53" s="405"/>
      <c r="E53" s="229"/>
      <c r="F53" s="406" t="e">
        <f>IF(A53&gt;0,D53*C53*$C$36,"")</f>
        <v>#DIV/0!</v>
      </c>
      <c r="G53" s="397"/>
      <c r="H53" s="397"/>
      <c r="I53" s="397"/>
      <c r="J53" s="407"/>
      <c r="K53" s="157"/>
      <c r="L53" s="396" t="str">
        <f t="shared" ref="L53:L67" si="1">IF(K53&gt;0,K53*F53,"")</f>
        <v/>
      </c>
      <c r="M53" s="397"/>
      <c r="N53" s="398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25" customHeight="1" x14ac:dyDescent="0.15">
      <c r="A54" s="423"/>
      <c r="B54" s="229"/>
      <c r="C54" s="156" t="str">
        <f t="shared" si="0"/>
        <v/>
      </c>
      <c r="D54" s="405"/>
      <c r="E54" s="229"/>
      <c r="F54" s="406" t="str">
        <f t="shared" ref="F54:F67" si="2">IF(A54&gt;0,D54*C54*$C$36,"")</f>
        <v/>
      </c>
      <c r="G54" s="397"/>
      <c r="H54" s="397"/>
      <c r="I54" s="397"/>
      <c r="J54" s="407"/>
      <c r="K54" s="157"/>
      <c r="L54" s="396" t="str">
        <f t="shared" si="1"/>
        <v/>
      </c>
      <c r="M54" s="397"/>
      <c r="N54" s="398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25" customHeight="1" x14ac:dyDescent="0.15">
      <c r="A55" s="423"/>
      <c r="B55" s="229"/>
      <c r="C55" s="156" t="str">
        <f t="shared" si="0"/>
        <v/>
      </c>
      <c r="D55" s="405"/>
      <c r="E55" s="229"/>
      <c r="F55" s="406" t="str">
        <f t="shared" si="2"/>
        <v/>
      </c>
      <c r="G55" s="397"/>
      <c r="H55" s="397"/>
      <c r="I55" s="397"/>
      <c r="J55" s="407"/>
      <c r="K55" s="157"/>
      <c r="L55" s="396" t="str">
        <f t="shared" si="1"/>
        <v/>
      </c>
      <c r="M55" s="397"/>
      <c r="N55" s="398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25" customHeight="1" x14ac:dyDescent="0.15">
      <c r="A56" s="423"/>
      <c r="B56" s="229"/>
      <c r="C56" s="156" t="str">
        <f t="shared" si="0"/>
        <v/>
      </c>
      <c r="D56" s="405"/>
      <c r="E56" s="229"/>
      <c r="F56" s="406" t="str">
        <f t="shared" si="2"/>
        <v/>
      </c>
      <c r="G56" s="397"/>
      <c r="H56" s="397"/>
      <c r="I56" s="397"/>
      <c r="J56" s="407"/>
      <c r="K56" s="157"/>
      <c r="L56" s="396" t="str">
        <f t="shared" si="1"/>
        <v/>
      </c>
      <c r="M56" s="397"/>
      <c r="N56" s="398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25" customHeight="1" x14ac:dyDescent="0.15">
      <c r="A57" s="423"/>
      <c r="B57" s="229"/>
      <c r="C57" s="156" t="str">
        <f t="shared" si="0"/>
        <v/>
      </c>
      <c r="D57" s="405"/>
      <c r="E57" s="229"/>
      <c r="F57" s="406" t="str">
        <f t="shared" si="2"/>
        <v/>
      </c>
      <c r="G57" s="397"/>
      <c r="H57" s="397"/>
      <c r="I57" s="397"/>
      <c r="J57" s="407"/>
      <c r="K57" s="157"/>
      <c r="L57" s="396" t="str">
        <f t="shared" si="1"/>
        <v/>
      </c>
      <c r="M57" s="397"/>
      <c r="N57" s="398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25" customHeight="1" x14ac:dyDescent="0.15">
      <c r="A58" s="423"/>
      <c r="B58" s="229"/>
      <c r="C58" s="156" t="str">
        <f t="shared" si="0"/>
        <v/>
      </c>
      <c r="D58" s="405"/>
      <c r="E58" s="229"/>
      <c r="F58" s="406" t="str">
        <f t="shared" si="2"/>
        <v/>
      </c>
      <c r="G58" s="397"/>
      <c r="H58" s="397"/>
      <c r="I58" s="397"/>
      <c r="J58" s="407"/>
      <c r="K58" s="157"/>
      <c r="L58" s="396" t="str">
        <f t="shared" si="1"/>
        <v/>
      </c>
      <c r="M58" s="397"/>
      <c r="N58" s="398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25" customHeight="1" x14ac:dyDescent="0.15">
      <c r="A59" s="423"/>
      <c r="B59" s="229"/>
      <c r="C59" s="156" t="str">
        <f t="shared" si="0"/>
        <v/>
      </c>
      <c r="D59" s="405"/>
      <c r="E59" s="229"/>
      <c r="F59" s="406" t="str">
        <f t="shared" si="2"/>
        <v/>
      </c>
      <c r="G59" s="397"/>
      <c r="H59" s="397"/>
      <c r="I59" s="397"/>
      <c r="J59" s="407"/>
      <c r="K59" s="157"/>
      <c r="L59" s="396" t="str">
        <f t="shared" si="1"/>
        <v/>
      </c>
      <c r="M59" s="397"/>
      <c r="N59" s="398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25" customHeight="1" x14ac:dyDescent="0.15">
      <c r="A60" s="423"/>
      <c r="B60" s="229"/>
      <c r="C60" s="156" t="str">
        <f t="shared" si="0"/>
        <v/>
      </c>
      <c r="D60" s="405"/>
      <c r="E60" s="229"/>
      <c r="F60" s="406" t="str">
        <f t="shared" si="2"/>
        <v/>
      </c>
      <c r="G60" s="397"/>
      <c r="H60" s="397"/>
      <c r="I60" s="397"/>
      <c r="J60" s="407"/>
      <c r="K60" s="157"/>
      <c r="L60" s="396" t="str">
        <f t="shared" si="1"/>
        <v/>
      </c>
      <c r="M60" s="397"/>
      <c r="N60" s="398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25" customHeight="1" x14ac:dyDescent="0.15">
      <c r="A61" s="423"/>
      <c r="B61" s="229"/>
      <c r="C61" s="156" t="str">
        <f t="shared" si="0"/>
        <v/>
      </c>
      <c r="D61" s="405"/>
      <c r="E61" s="229"/>
      <c r="F61" s="406" t="str">
        <f t="shared" si="2"/>
        <v/>
      </c>
      <c r="G61" s="397"/>
      <c r="H61" s="397"/>
      <c r="I61" s="397"/>
      <c r="J61" s="407"/>
      <c r="K61" s="157"/>
      <c r="L61" s="396" t="str">
        <f t="shared" si="1"/>
        <v/>
      </c>
      <c r="M61" s="397"/>
      <c r="N61" s="398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25" customHeight="1" x14ac:dyDescent="0.15">
      <c r="A62" s="423"/>
      <c r="B62" s="229"/>
      <c r="C62" s="156" t="str">
        <f t="shared" si="0"/>
        <v/>
      </c>
      <c r="D62" s="405"/>
      <c r="E62" s="229"/>
      <c r="F62" s="406" t="str">
        <f t="shared" si="2"/>
        <v/>
      </c>
      <c r="G62" s="397"/>
      <c r="H62" s="397"/>
      <c r="I62" s="397"/>
      <c r="J62" s="407"/>
      <c r="K62" s="157"/>
      <c r="L62" s="396" t="str">
        <f t="shared" si="1"/>
        <v/>
      </c>
      <c r="M62" s="397"/>
      <c r="N62" s="398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25" customHeight="1" x14ac:dyDescent="0.15">
      <c r="A63" s="423"/>
      <c r="B63" s="229"/>
      <c r="C63" s="156" t="str">
        <f t="shared" si="0"/>
        <v/>
      </c>
      <c r="D63" s="405"/>
      <c r="E63" s="229"/>
      <c r="F63" s="406" t="str">
        <f t="shared" si="2"/>
        <v/>
      </c>
      <c r="G63" s="397"/>
      <c r="H63" s="397"/>
      <c r="I63" s="397"/>
      <c r="J63" s="407"/>
      <c r="K63" s="157"/>
      <c r="L63" s="396" t="str">
        <f t="shared" si="1"/>
        <v/>
      </c>
      <c r="M63" s="397"/>
      <c r="N63" s="398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25" customHeight="1" x14ac:dyDescent="0.15">
      <c r="A64" s="423"/>
      <c r="B64" s="229"/>
      <c r="C64" s="156" t="str">
        <f t="shared" si="0"/>
        <v/>
      </c>
      <c r="D64" s="405"/>
      <c r="E64" s="229"/>
      <c r="F64" s="406" t="str">
        <f t="shared" si="2"/>
        <v/>
      </c>
      <c r="G64" s="397"/>
      <c r="H64" s="397"/>
      <c r="I64" s="397"/>
      <c r="J64" s="407"/>
      <c r="K64" s="157"/>
      <c r="L64" s="396" t="str">
        <f t="shared" si="1"/>
        <v/>
      </c>
      <c r="M64" s="397"/>
      <c r="N64" s="398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25" customHeight="1" x14ac:dyDescent="0.15">
      <c r="A65" s="423"/>
      <c r="B65" s="229"/>
      <c r="C65" s="156" t="str">
        <f t="shared" si="0"/>
        <v/>
      </c>
      <c r="D65" s="405"/>
      <c r="E65" s="229"/>
      <c r="F65" s="406" t="str">
        <f t="shared" si="2"/>
        <v/>
      </c>
      <c r="G65" s="397"/>
      <c r="H65" s="397"/>
      <c r="I65" s="397"/>
      <c r="J65" s="407"/>
      <c r="K65" s="157"/>
      <c r="L65" s="396" t="str">
        <f t="shared" si="1"/>
        <v/>
      </c>
      <c r="M65" s="397"/>
      <c r="N65" s="398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25" customHeight="1" x14ac:dyDescent="0.15">
      <c r="A66" s="423"/>
      <c r="B66" s="229"/>
      <c r="C66" s="156" t="str">
        <f t="shared" si="0"/>
        <v/>
      </c>
      <c r="D66" s="405"/>
      <c r="E66" s="229"/>
      <c r="F66" s="406" t="str">
        <f t="shared" si="2"/>
        <v/>
      </c>
      <c r="G66" s="397"/>
      <c r="H66" s="397"/>
      <c r="I66" s="397"/>
      <c r="J66" s="407"/>
      <c r="K66" s="157"/>
      <c r="L66" s="396" t="str">
        <f t="shared" si="1"/>
        <v/>
      </c>
      <c r="M66" s="397"/>
      <c r="N66" s="398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25" customHeight="1" x14ac:dyDescent="0.15">
      <c r="A67" s="423"/>
      <c r="B67" s="229"/>
      <c r="C67" s="156" t="str">
        <f t="shared" si="0"/>
        <v/>
      </c>
      <c r="D67" s="425"/>
      <c r="E67" s="426"/>
      <c r="F67" s="436" t="str">
        <f t="shared" si="2"/>
        <v/>
      </c>
      <c r="G67" s="437"/>
      <c r="H67" s="437"/>
      <c r="I67" s="437"/>
      <c r="J67" s="438"/>
      <c r="K67" s="157"/>
      <c r="L67" s="396" t="str">
        <f t="shared" si="1"/>
        <v/>
      </c>
      <c r="M67" s="397"/>
      <c r="N67" s="398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25" customHeight="1" x14ac:dyDescent="0.15">
      <c r="A68" s="434">
        <f>SUM(A53:A67)</f>
        <v>10000</v>
      </c>
      <c r="B68" s="253"/>
      <c r="C68" s="62"/>
      <c r="D68" s="435">
        <f>SUM(D53:E67)</f>
        <v>0</v>
      </c>
      <c r="E68" s="253"/>
      <c r="F68" s="439" t="e">
        <f>SUM(F53:H67)</f>
        <v>#DIV/0!</v>
      </c>
      <c r="G68" s="233"/>
      <c r="H68" s="233"/>
      <c r="I68" s="233"/>
      <c r="J68" s="253"/>
      <c r="K68" s="63" t="s">
        <v>103</v>
      </c>
      <c r="L68" s="430">
        <f>SUM(L53:L67)</f>
        <v>0</v>
      </c>
      <c r="M68" s="233"/>
      <c r="N68" s="23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ht="3.75" customHeight="1" x14ac:dyDescent="0.15">
      <c r="A69" s="440"/>
      <c r="B69" s="192"/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25" customHeight="1" x14ac:dyDescent="0.15">
      <c r="A70" s="65"/>
      <c r="B70" s="441" t="s">
        <v>104</v>
      </c>
      <c r="C70" s="233"/>
      <c r="D70" s="253"/>
      <c r="E70" s="173">
        <f>IF(D68=E38,,"CHECK TERM")</f>
        <v>0</v>
      </c>
      <c r="F70" s="66"/>
      <c r="G70" s="66"/>
      <c r="H70" s="66"/>
      <c r="I70" s="66"/>
      <c r="J70" s="66"/>
      <c r="K70" s="67" t="s">
        <v>105</v>
      </c>
      <c r="L70" s="442"/>
      <c r="M70" s="220"/>
      <c r="N70" s="221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3.75" customHeight="1" x14ac:dyDescent="0.15">
      <c r="A71" s="427"/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25" customHeight="1" x14ac:dyDescent="0.15">
      <c r="A72" s="65"/>
      <c r="B72" s="428" t="str">
        <f>IFERROR(AVERAGE(C53:C67),"N/A")</f>
        <v>N/A</v>
      </c>
      <c r="C72" s="233"/>
      <c r="D72" s="253"/>
      <c r="E72" s="429" t="s">
        <v>106</v>
      </c>
      <c r="F72" s="192"/>
      <c r="G72" s="192"/>
      <c r="H72" s="192"/>
      <c r="I72" s="192"/>
      <c r="J72" s="192"/>
      <c r="K72" s="184"/>
      <c r="L72" s="430">
        <f>M44</f>
        <v>0</v>
      </c>
      <c r="M72" s="233"/>
      <c r="N72" s="234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 ht="3.75" customHeight="1" x14ac:dyDescent="0.15">
      <c r="A73" s="427"/>
      <c r="B73" s="192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25" customHeight="1" x14ac:dyDescent="0.15">
      <c r="A74" s="65"/>
      <c r="B74" s="441" t="s">
        <v>107</v>
      </c>
      <c r="C74" s="233"/>
      <c r="D74" s="253"/>
      <c r="E74" s="429" t="s">
        <v>108</v>
      </c>
      <c r="F74" s="192"/>
      <c r="G74" s="192"/>
      <c r="H74" s="192"/>
      <c r="I74" s="192"/>
      <c r="J74" s="192"/>
      <c r="K74" s="184"/>
      <c r="L74" s="431"/>
      <c r="M74" s="432"/>
      <c r="N74" s="43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3.75" customHeight="1" x14ac:dyDescent="0.15">
      <c r="A75" s="427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25" customHeight="1" x14ac:dyDescent="0.15">
      <c r="A76" s="65"/>
      <c r="B76" s="449" t="str">
        <f>IFERROR(F68/D68,"N/A")</f>
        <v>N/A</v>
      </c>
      <c r="C76" s="233"/>
      <c r="D76" s="253"/>
      <c r="E76" s="429" t="s">
        <v>109</v>
      </c>
      <c r="F76" s="192"/>
      <c r="G76" s="192"/>
      <c r="H76" s="192"/>
      <c r="I76" s="192"/>
      <c r="J76" s="192"/>
      <c r="K76" s="184"/>
      <c r="L76" s="443">
        <f>L68+L70+L72+L74</f>
        <v>0</v>
      </c>
      <c r="M76" s="233"/>
      <c r="N76" s="234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3.75" customHeight="1" x14ac:dyDescent="0.15">
      <c r="A77" s="444"/>
      <c r="B77" s="211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2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" customHeight="1" x14ac:dyDescent="0.15">
      <c r="A78" s="445" t="s">
        <v>110</v>
      </c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8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2.25" customHeight="1" x14ac:dyDescent="0.15">
      <c r="A79" s="446"/>
      <c r="B79" s="240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1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15">
      <c r="A80" s="447" t="s">
        <v>111</v>
      </c>
      <c r="B80" s="192"/>
      <c r="C80" s="192"/>
      <c r="D80" s="192"/>
      <c r="E80" s="192"/>
      <c r="F80" s="192"/>
      <c r="G80" s="192"/>
      <c r="H80" s="68"/>
      <c r="I80" s="68"/>
      <c r="J80" s="158"/>
      <c r="K80" s="448" t="s">
        <v>112</v>
      </c>
      <c r="L80" s="192"/>
      <c r="M80" s="192"/>
      <c r="N80" s="19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.5" customHeight="1" x14ac:dyDescent="0.15">
      <c r="A81" s="454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15">
      <c r="A82" s="455" t="s">
        <v>113</v>
      </c>
      <c r="B82" s="233"/>
      <c r="C82" s="233"/>
      <c r="D82" s="233"/>
      <c r="E82" s="233"/>
      <c r="F82" s="233"/>
      <c r="G82" s="233"/>
      <c r="H82" s="233"/>
      <c r="I82" s="253"/>
      <c r="J82" s="456" t="s">
        <v>114</v>
      </c>
      <c r="K82" s="233"/>
      <c r="L82" s="233"/>
      <c r="M82" s="233"/>
      <c r="N82" s="234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3.75" customHeight="1" x14ac:dyDescent="0.15">
      <c r="A83" s="459"/>
      <c r="B83" s="303"/>
      <c r="C83" s="303"/>
      <c r="D83" s="303"/>
      <c r="E83" s="303"/>
      <c r="F83" s="303"/>
      <c r="G83" s="303"/>
      <c r="H83" s="303"/>
      <c r="I83" s="69"/>
      <c r="J83" s="457"/>
      <c r="K83" s="303"/>
      <c r="L83" s="303"/>
      <c r="M83" s="303"/>
      <c r="N83" s="458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" customHeight="1" x14ac:dyDescent="0.15">
      <c r="A84" s="460" t="s">
        <v>115</v>
      </c>
      <c r="B84" s="192"/>
      <c r="C84" s="192"/>
      <c r="D84" s="192"/>
      <c r="E84" s="192"/>
      <c r="F84" s="184"/>
      <c r="G84" s="159"/>
      <c r="H84" s="461"/>
      <c r="I84" s="184"/>
      <c r="J84" s="462" t="s">
        <v>116</v>
      </c>
      <c r="K84" s="192"/>
      <c r="L84" s="192"/>
      <c r="M84" s="192"/>
      <c r="N84" s="162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</row>
    <row r="85" spans="1:26" ht="15" customHeight="1" x14ac:dyDescent="0.15">
      <c r="A85" s="183" t="s">
        <v>117</v>
      </c>
      <c r="B85" s="184"/>
      <c r="C85" s="452"/>
      <c r="D85" s="188"/>
      <c r="E85" s="188"/>
      <c r="F85" s="188"/>
      <c r="G85" s="186"/>
      <c r="H85" s="453"/>
      <c r="I85" s="184"/>
      <c r="J85" s="71" t="s">
        <v>117</v>
      </c>
      <c r="K85" s="450"/>
      <c r="L85" s="188"/>
      <c r="M85" s="188"/>
      <c r="N85" s="199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" customHeight="1" x14ac:dyDescent="0.15">
      <c r="A86" s="183" t="s">
        <v>118</v>
      </c>
      <c r="B86" s="184"/>
      <c r="C86" s="452"/>
      <c r="D86" s="188"/>
      <c r="E86" s="188"/>
      <c r="F86" s="188"/>
      <c r="G86" s="186"/>
      <c r="H86" s="453"/>
      <c r="I86" s="184"/>
      <c r="J86" s="71" t="s">
        <v>118</v>
      </c>
      <c r="K86" s="450"/>
      <c r="L86" s="188"/>
      <c r="M86" s="188"/>
      <c r="N86" s="199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" customHeight="1" x14ac:dyDescent="0.15">
      <c r="A87" s="183" t="s">
        <v>18</v>
      </c>
      <c r="B87" s="184"/>
      <c r="C87" s="185"/>
      <c r="D87" s="188"/>
      <c r="E87" s="188"/>
      <c r="F87" s="188"/>
      <c r="G87" s="186"/>
      <c r="H87" s="453"/>
      <c r="I87" s="184"/>
      <c r="J87" s="71" t="s">
        <v>18</v>
      </c>
      <c r="K87" s="451"/>
      <c r="L87" s="188"/>
      <c r="M87" s="188"/>
      <c r="N87" s="199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" customHeight="1" x14ac:dyDescent="0.15">
      <c r="A88" s="183" t="s">
        <v>10</v>
      </c>
      <c r="B88" s="184"/>
      <c r="C88" s="452"/>
      <c r="D88" s="188"/>
      <c r="E88" s="188"/>
      <c r="F88" s="188"/>
      <c r="G88" s="186"/>
      <c r="H88" s="453"/>
      <c r="I88" s="184"/>
      <c r="J88" s="71" t="s">
        <v>10</v>
      </c>
      <c r="K88" s="450"/>
      <c r="L88" s="188"/>
      <c r="M88" s="188"/>
      <c r="N88" s="199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" customHeight="1" x14ac:dyDescent="0.15">
      <c r="A89" s="183" t="s">
        <v>19</v>
      </c>
      <c r="B89" s="184"/>
      <c r="C89" s="160"/>
      <c r="D89" s="161" t="s">
        <v>20</v>
      </c>
      <c r="E89" s="185"/>
      <c r="F89" s="186"/>
      <c r="G89" s="72"/>
      <c r="H89" s="189"/>
      <c r="I89" s="184"/>
      <c r="J89" s="71" t="s">
        <v>19</v>
      </c>
      <c r="K89" s="163"/>
      <c r="L89" s="164" t="s">
        <v>20</v>
      </c>
      <c r="M89" s="163"/>
      <c r="N89" s="7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" customHeight="1" x14ac:dyDescent="0.15">
      <c r="A90" s="183" t="s">
        <v>21</v>
      </c>
      <c r="B90" s="184"/>
      <c r="C90" s="187"/>
      <c r="D90" s="188"/>
      <c r="E90" s="186"/>
      <c r="F90" s="72"/>
      <c r="G90" s="72"/>
      <c r="H90" s="189"/>
      <c r="I90" s="184"/>
      <c r="J90" s="71" t="s">
        <v>21</v>
      </c>
      <c r="K90" s="190"/>
      <c r="L90" s="186"/>
      <c r="M90" s="74"/>
      <c r="N90" s="7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22.25" customHeight="1" x14ac:dyDescent="0.15">
      <c r="A91" s="205" t="s">
        <v>119</v>
      </c>
      <c r="B91" s="192"/>
      <c r="C91" s="192"/>
      <c r="D91" s="192"/>
      <c r="E91" s="192"/>
      <c r="F91" s="192"/>
      <c r="G91" s="192"/>
      <c r="H91" s="206"/>
      <c r="I91" s="184"/>
      <c r="J91" s="191" t="s">
        <v>120</v>
      </c>
      <c r="K91" s="192"/>
      <c r="L91" s="192"/>
      <c r="M91" s="192"/>
      <c r="N91" s="193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</row>
    <row r="92" spans="1:26" ht="15" customHeight="1" x14ac:dyDescent="0.15">
      <c r="A92" s="207" t="s">
        <v>121</v>
      </c>
      <c r="B92" s="192"/>
      <c r="C92" s="192"/>
      <c r="D92" s="192"/>
      <c r="E92" s="204"/>
      <c r="F92" s="186"/>
      <c r="G92" s="76"/>
      <c r="H92" s="206"/>
      <c r="I92" s="184"/>
      <c r="J92" s="77"/>
      <c r="K92" s="78" t="s">
        <v>121</v>
      </c>
      <c r="L92" s="204"/>
      <c r="M92" s="186"/>
      <c r="N92" s="79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3.75" customHeight="1" x14ac:dyDescent="0.15">
      <c r="A93" s="80"/>
      <c r="B93" s="81"/>
      <c r="C93" s="81"/>
      <c r="D93" s="81"/>
      <c r="E93" s="81"/>
      <c r="F93" s="81"/>
      <c r="G93" s="81"/>
      <c r="H93" s="81"/>
      <c r="I93" s="82"/>
      <c r="J93" s="213"/>
      <c r="K93" s="211"/>
      <c r="L93" s="211"/>
      <c r="M93" s="211"/>
      <c r="N93" s="212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" customHeight="1" x14ac:dyDescent="0.15">
      <c r="A94" s="236" t="s">
        <v>122</v>
      </c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8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</row>
    <row r="95" spans="1:26" ht="3.75" customHeight="1" x14ac:dyDescent="0.15">
      <c r="A95" s="239"/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1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" customHeight="1" x14ac:dyDescent="0.15">
      <c r="A96" s="235" t="s">
        <v>123</v>
      </c>
      <c r="B96" s="184"/>
      <c r="C96" s="215" t="str">
        <f>IF(E92="YES",C85,"")</f>
        <v/>
      </c>
      <c r="D96" s="216"/>
      <c r="E96" s="216"/>
      <c r="F96" s="216"/>
      <c r="G96" s="217"/>
      <c r="H96" s="218" t="s">
        <v>124</v>
      </c>
      <c r="I96" s="192"/>
      <c r="J96" s="192"/>
      <c r="K96" s="184"/>
      <c r="L96" s="219">
        <v>0</v>
      </c>
      <c r="M96" s="220"/>
      <c r="N96" s="221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3.75" customHeight="1" x14ac:dyDescent="0.15">
      <c r="A97" s="242"/>
      <c r="B97" s="192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" customHeight="1" x14ac:dyDescent="0.15">
      <c r="A98" s="235" t="s">
        <v>125</v>
      </c>
      <c r="B98" s="184"/>
      <c r="C98" s="215" t="str">
        <f>IF(L92="yes",K85,"")</f>
        <v/>
      </c>
      <c r="D98" s="216"/>
      <c r="E98" s="216"/>
      <c r="F98" s="216"/>
      <c r="G98" s="217"/>
      <c r="H98" s="218" t="s">
        <v>124</v>
      </c>
      <c r="I98" s="192"/>
      <c r="J98" s="192"/>
      <c r="K98" s="184"/>
      <c r="L98" s="219">
        <v>0</v>
      </c>
      <c r="M98" s="220"/>
      <c r="N98" s="221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15">
      <c r="A99" s="222" t="s">
        <v>126</v>
      </c>
      <c r="B99" s="192"/>
      <c r="C99" s="192"/>
      <c r="D99" s="192"/>
      <c r="E99" s="192"/>
      <c r="F99" s="192"/>
      <c r="G99" s="192"/>
      <c r="H99" s="192"/>
      <c r="I99" s="192"/>
      <c r="J99" s="192"/>
      <c r="K99" s="84"/>
      <c r="L99" s="84"/>
      <c r="M99" s="84"/>
      <c r="N99" s="85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" customHeight="1" x14ac:dyDescent="0.15">
      <c r="A100" s="86"/>
      <c r="B100" s="87" t="s">
        <v>127</v>
      </c>
      <c r="C100" s="223"/>
      <c r="D100" s="188"/>
      <c r="E100" s="188"/>
      <c r="F100" s="188"/>
      <c r="G100" s="186"/>
      <c r="H100" s="218" t="s">
        <v>124</v>
      </c>
      <c r="I100" s="192"/>
      <c r="J100" s="192"/>
      <c r="K100" s="184"/>
      <c r="L100" s="219">
        <v>0</v>
      </c>
      <c r="M100" s="220"/>
      <c r="N100" s="221"/>
      <c r="O100" s="3"/>
      <c r="P100" s="88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15">
      <c r="A101" s="86"/>
      <c r="B101" s="230" t="s">
        <v>18</v>
      </c>
      <c r="C101" s="224"/>
      <c r="D101" s="225"/>
      <c r="E101" s="225"/>
      <c r="F101" s="225"/>
      <c r="G101" s="226"/>
      <c r="H101" s="214"/>
      <c r="I101" s="192"/>
      <c r="J101" s="192"/>
      <c r="K101" s="192"/>
      <c r="L101" s="192"/>
      <c r="M101" s="192"/>
      <c r="N101" s="19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" customHeight="1" x14ac:dyDescent="0.15">
      <c r="A102" s="86"/>
      <c r="B102" s="184"/>
      <c r="C102" s="227"/>
      <c r="D102" s="228"/>
      <c r="E102" s="228"/>
      <c r="F102" s="228"/>
      <c r="G102" s="229"/>
      <c r="H102" s="231" t="s">
        <v>128</v>
      </c>
      <c r="I102" s="192"/>
      <c r="J102" s="192"/>
      <c r="K102" s="184"/>
      <c r="L102" s="232">
        <f>L96+L98+L100</f>
        <v>0</v>
      </c>
      <c r="M102" s="233"/>
      <c r="N102" s="234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3.75" customHeight="1" x14ac:dyDescent="0.15">
      <c r="A103" s="208" t="s">
        <v>129</v>
      </c>
      <c r="B103" s="192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19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15">
      <c r="A104" s="209"/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3"/>
      <c r="O104" s="3"/>
      <c r="P104" s="3"/>
      <c r="Q104" s="89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3.75" customHeight="1" x14ac:dyDescent="0.15">
      <c r="A105" s="210"/>
      <c r="B105" s="211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2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3.75" customHeight="1" x14ac:dyDescent="0.15">
      <c r="A106" s="245"/>
      <c r="B106" s="192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19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" customHeight="1" x14ac:dyDescent="0.15">
      <c r="A107" s="246" t="s">
        <v>130</v>
      </c>
      <c r="B107" s="192"/>
      <c r="C107" s="192"/>
      <c r="D107" s="184"/>
      <c r="E107" s="247" t="str">
        <f>IF(G11="y",C12,IF(N11="y",K12,IF(G84="y",C85,IF(N84="y",K85,IF(N46="y",M45,IF(N45="y",K44,""))))))</f>
        <v/>
      </c>
      <c r="F107" s="233"/>
      <c r="G107" s="233"/>
      <c r="H107" s="233"/>
      <c r="I107" s="233"/>
      <c r="J107" s="233"/>
      <c r="K107" s="233"/>
      <c r="L107" s="233"/>
      <c r="M107" s="233"/>
      <c r="N107" s="234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3.75" customHeight="1" x14ac:dyDescent="0.15">
      <c r="A108" s="248"/>
      <c r="B108" s="192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19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" customHeight="1" x14ac:dyDescent="0.15">
      <c r="A109" s="250" t="s">
        <v>131</v>
      </c>
      <c r="B109" s="192"/>
      <c r="C109" s="192"/>
      <c r="D109" s="192"/>
      <c r="E109" s="192"/>
      <c r="F109" s="184"/>
      <c r="G109" s="249"/>
      <c r="H109" s="188"/>
      <c r="I109" s="188"/>
      <c r="J109" s="188"/>
      <c r="K109" s="188"/>
      <c r="L109" s="188"/>
      <c r="M109" s="188"/>
      <c r="N109" s="199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" customHeight="1" x14ac:dyDescent="0.15">
      <c r="A110" s="251" t="s">
        <v>132</v>
      </c>
      <c r="B110" s="192"/>
      <c r="C110" s="192"/>
      <c r="D110" s="192"/>
      <c r="E110" s="192"/>
      <c r="F110" s="184"/>
      <c r="G110" s="249"/>
      <c r="H110" s="188"/>
      <c r="I110" s="188"/>
      <c r="J110" s="188"/>
      <c r="K110" s="188"/>
      <c r="L110" s="188"/>
      <c r="M110" s="188"/>
      <c r="N110" s="199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3.75" customHeight="1" x14ac:dyDescent="0.15">
      <c r="A111" s="248"/>
      <c r="B111" s="192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19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9.75" customHeight="1" x14ac:dyDescent="0.15">
      <c r="A112" s="295" t="s">
        <v>133</v>
      </c>
      <c r="B112" s="262"/>
      <c r="C112" s="262"/>
      <c r="D112" s="262"/>
      <c r="E112" s="262"/>
      <c r="F112" s="262"/>
      <c r="G112" s="262"/>
      <c r="H112" s="280"/>
      <c r="I112" s="192"/>
      <c r="J112" s="192"/>
      <c r="K112" s="90" t="s">
        <v>134</v>
      </c>
      <c r="L112" s="90" t="s">
        <v>135</v>
      </c>
      <c r="M112" s="90" t="s">
        <v>134</v>
      </c>
      <c r="N112" s="91" t="s">
        <v>135</v>
      </c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15">
      <c r="A113" s="282"/>
      <c r="B113" s="256"/>
      <c r="C113" s="256"/>
      <c r="D113" s="256"/>
      <c r="E113" s="256"/>
      <c r="F113" s="256"/>
      <c r="G113" s="283"/>
      <c r="H113" s="192"/>
      <c r="I113" s="281"/>
      <c r="J113" s="192"/>
      <c r="K113" s="92"/>
      <c r="L113" s="93"/>
      <c r="M113" s="92"/>
      <c r="N113" s="94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" customHeight="1" x14ac:dyDescent="0.15">
      <c r="A114" s="258"/>
      <c r="B114" s="259"/>
      <c r="C114" s="259"/>
      <c r="D114" s="259"/>
      <c r="E114" s="259"/>
      <c r="F114" s="259"/>
      <c r="G114" s="284"/>
      <c r="H114" s="192"/>
      <c r="I114" s="192"/>
      <c r="J114" s="192"/>
      <c r="K114" s="95"/>
      <c r="L114" s="93"/>
      <c r="M114" s="92"/>
      <c r="N114" s="94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3.75" customHeight="1" x14ac:dyDescent="0.15">
      <c r="A115" s="285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  <c r="M115" s="211"/>
      <c r="N115" s="212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" customHeight="1" x14ac:dyDescent="0.15">
      <c r="A116" s="286" t="s">
        <v>136</v>
      </c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8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3.75" customHeight="1" x14ac:dyDescent="0.15">
      <c r="A117" s="289"/>
      <c r="B117" s="240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1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" customHeight="1" x14ac:dyDescent="0.15">
      <c r="A118" s="290"/>
      <c r="B118" s="192"/>
      <c r="C118" s="192"/>
      <c r="D118" s="192"/>
      <c r="E118" s="192"/>
      <c r="F118" s="192"/>
      <c r="G118" s="291" t="s">
        <v>109</v>
      </c>
      <c r="H118" s="233"/>
      <c r="I118" s="233"/>
      <c r="J118" s="233"/>
      <c r="K118" s="233"/>
      <c r="L118" s="292">
        <f>L76</f>
        <v>0</v>
      </c>
      <c r="M118" s="233"/>
      <c r="N118" s="234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 ht="15" customHeight="1" x14ac:dyDescent="0.15">
      <c r="A119" s="304">
        <f>D4</f>
        <v>0</v>
      </c>
      <c r="B119" s="192"/>
      <c r="C119" s="192"/>
      <c r="D119" s="192"/>
      <c r="E119" s="192"/>
      <c r="F119" s="184"/>
      <c r="G119" s="293" t="s">
        <v>137</v>
      </c>
      <c r="H119" s="233"/>
      <c r="I119" s="233"/>
      <c r="J119" s="233"/>
      <c r="K119" s="233"/>
      <c r="L119" s="294">
        <f>L102</f>
        <v>0</v>
      </c>
      <c r="M119" s="233"/>
      <c r="N119" s="234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 ht="15" customHeight="1" x14ac:dyDescent="0.15">
      <c r="A120" s="209"/>
      <c r="B120" s="192"/>
      <c r="C120" s="192"/>
      <c r="D120" s="192"/>
      <c r="E120" s="192"/>
      <c r="F120" s="184"/>
      <c r="G120" s="287" t="s">
        <v>138</v>
      </c>
      <c r="H120" s="233"/>
      <c r="I120" s="233"/>
      <c r="J120" s="233"/>
      <c r="K120" s="233"/>
      <c r="L120" s="288">
        <f>L118-L119</f>
        <v>0</v>
      </c>
      <c r="M120" s="233"/>
      <c r="N120" s="234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 ht="3" customHeight="1" x14ac:dyDescent="0.15">
      <c r="A121" s="296"/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2.75" customHeight="1" x14ac:dyDescent="0.15">
      <c r="A122" s="305" t="s">
        <v>139</v>
      </c>
      <c r="B122" s="303"/>
      <c r="C122" s="298"/>
      <c r="D122" s="307" t="s">
        <v>140</v>
      </c>
      <c r="E122" s="96" t="s">
        <v>141</v>
      </c>
      <c r="F122" s="308" t="s">
        <v>142</v>
      </c>
      <c r="G122" s="309" t="s">
        <v>143</v>
      </c>
      <c r="H122" s="302" t="s">
        <v>144</v>
      </c>
      <c r="I122" s="303"/>
      <c r="J122" s="298"/>
      <c r="K122" s="309" t="s">
        <v>145</v>
      </c>
      <c r="L122" s="297" t="s">
        <v>146</v>
      </c>
      <c r="M122" s="298"/>
      <c r="N122" s="300" t="s">
        <v>147</v>
      </c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2" customHeight="1" x14ac:dyDescent="0.15">
      <c r="A123" s="306"/>
      <c r="B123" s="262"/>
      <c r="C123" s="275"/>
      <c r="D123" s="262"/>
      <c r="E123" s="97" t="s">
        <v>148</v>
      </c>
      <c r="F123" s="275"/>
      <c r="G123" s="310"/>
      <c r="H123" s="299"/>
      <c r="I123" s="262"/>
      <c r="J123" s="275"/>
      <c r="K123" s="310"/>
      <c r="L123" s="299"/>
      <c r="M123" s="275"/>
      <c r="N123" s="301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" customHeight="1" x14ac:dyDescent="0.15">
      <c r="A124" s="244"/>
      <c r="B124" s="188"/>
      <c r="C124" s="186"/>
      <c r="D124" s="165"/>
      <c r="E124" s="166"/>
      <c r="F124" s="167" t="str">
        <f>IF(D124="listing",$L$120*E124,IF(D124="Both",H124=$L$120*E124,IF(D124="Procurring",G124=$L$120*E124,IF(D124="Other",K124=$L$120*E124,IF(D124="referring",L124=$L$120-E124,IF(D124="",""))))))</f>
        <v/>
      </c>
      <c r="G124" s="167" t="str">
        <f t="shared" ref="G124:G130" si="3">IF(D124="Procurring",$L$120*E124,IF(C124="N",C124,""))</f>
        <v/>
      </c>
      <c r="H124" s="243" t="str">
        <f t="shared" ref="H124:H130" si="4">IF(D124="Both",$L$120*E124,IF(D124="N",D124,""))</f>
        <v/>
      </c>
      <c r="I124" s="216"/>
      <c r="J124" s="217"/>
      <c r="K124" s="167" t="str">
        <f t="shared" ref="K124:K130" si="5">IF(D124="Other",$L$120*E124,IF(C124="N",C124,""))</f>
        <v/>
      </c>
      <c r="L124" s="243" t="str">
        <f t="shared" ref="L124:L130" si="6">IF(D124="referring", $L$120*E124, IF(C124="n",C124,""))</f>
        <v/>
      </c>
      <c r="M124" s="217"/>
      <c r="N124" s="98">
        <f t="shared" ref="N124:N130" si="7">SUM(F124,G124,H124,K124, L124)/2</f>
        <v>0</v>
      </c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" customHeight="1" x14ac:dyDescent="0.15">
      <c r="A125" s="244"/>
      <c r="B125" s="188"/>
      <c r="C125" s="186"/>
      <c r="D125" s="165"/>
      <c r="E125" s="168"/>
      <c r="F125" s="167" t="str">
        <f t="shared" ref="F125:F130" si="8">IF(D125="listing",$L$120*E125,IF(D125="Both",H125=$L$120*E125,IF(D125="Procurring",G125=$L$120*E125,IF(D125="Other",K125=$L$120*E125,IF(D125="","")))))</f>
        <v/>
      </c>
      <c r="G125" s="167" t="str">
        <f t="shared" si="3"/>
        <v/>
      </c>
      <c r="H125" s="243" t="str">
        <f t="shared" si="4"/>
        <v/>
      </c>
      <c r="I125" s="216"/>
      <c r="J125" s="217"/>
      <c r="K125" s="167" t="str">
        <f t="shared" si="5"/>
        <v/>
      </c>
      <c r="L125" s="243" t="str">
        <f t="shared" si="6"/>
        <v/>
      </c>
      <c r="M125" s="217"/>
      <c r="N125" s="98">
        <f t="shared" si="7"/>
        <v>0</v>
      </c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" customHeight="1" x14ac:dyDescent="0.15">
      <c r="A126" s="244"/>
      <c r="B126" s="188"/>
      <c r="C126" s="186"/>
      <c r="D126" s="165"/>
      <c r="E126" s="168"/>
      <c r="F126" s="167" t="str">
        <f t="shared" si="8"/>
        <v/>
      </c>
      <c r="G126" s="167" t="str">
        <f t="shared" si="3"/>
        <v/>
      </c>
      <c r="H126" s="243" t="str">
        <f t="shared" si="4"/>
        <v/>
      </c>
      <c r="I126" s="216"/>
      <c r="J126" s="217"/>
      <c r="K126" s="167" t="str">
        <f t="shared" si="5"/>
        <v/>
      </c>
      <c r="L126" s="243" t="str">
        <f t="shared" si="6"/>
        <v/>
      </c>
      <c r="M126" s="217"/>
      <c r="N126" s="98">
        <f t="shared" si="7"/>
        <v>0</v>
      </c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" customHeight="1" x14ac:dyDescent="0.15">
      <c r="A127" s="244"/>
      <c r="B127" s="188"/>
      <c r="C127" s="186"/>
      <c r="D127" s="165"/>
      <c r="E127" s="168"/>
      <c r="F127" s="167" t="str">
        <f t="shared" si="8"/>
        <v/>
      </c>
      <c r="G127" s="167" t="str">
        <f t="shared" si="3"/>
        <v/>
      </c>
      <c r="H127" s="243" t="str">
        <f t="shared" si="4"/>
        <v/>
      </c>
      <c r="I127" s="216"/>
      <c r="J127" s="217"/>
      <c r="K127" s="167" t="str">
        <f t="shared" si="5"/>
        <v/>
      </c>
      <c r="L127" s="243" t="str">
        <f t="shared" si="6"/>
        <v/>
      </c>
      <c r="M127" s="217"/>
      <c r="N127" s="98">
        <f t="shared" si="7"/>
        <v>0</v>
      </c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" customHeight="1" x14ac:dyDescent="0.15">
      <c r="A128" s="244"/>
      <c r="B128" s="188"/>
      <c r="C128" s="186"/>
      <c r="D128" s="165"/>
      <c r="E128" s="168"/>
      <c r="F128" s="167" t="str">
        <f t="shared" si="8"/>
        <v/>
      </c>
      <c r="G128" s="167" t="str">
        <f t="shared" si="3"/>
        <v/>
      </c>
      <c r="H128" s="243" t="str">
        <f t="shared" si="4"/>
        <v/>
      </c>
      <c r="I128" s="216"/>
      <c r="J128" s="217"/>
      <c r="K128" s="167" t="str">
        <f t="shared" si="5"/>
        <v/>
      </c>
      <c r="L128" s="243" t="str">
        <f t="shared" si="6"/>
        <v/>
      </c>
      <c r="M128" s="217"/>
      <c r="N128" s="98">
        <f t="shared" si="7"/>
        <v>0</v>
      </c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" customHeight="1" x14ac:dyDescent="0.15">
      <c r="A129" s="244"/>
      <c r="B129" s="188"/>
      <c r="C129" s="186"/>
      <c r="D129" s="165"/>
      <c r="E129" s="168"/>
      <c r="F129" s="167" t="str">
        <f t="shared" si="8"/>
        <v/>
      </c>
      <c r="G129" s="167" t="str">
        <f t="shared" si="3"/>
        <v/>
      </c>
      <c r="H129" s="243" t="str">
        <f t="shared" si="4"/>
        <v/>
      </c>
      <c r="I129" s="216"/>
      <c r="J129" s="217"/>
      <c r="K129" s="167" t="str">
        <f t="shared" si="5"/>
        <v/>
      </c>
      <c r="L129" s="243" t="str">
        <f t="shared" si="6"/>
        <v/>
      </c>
      <c r="M129" s="217"/>
      <c r="N129" s="98">
        <f t="shared" si="7"/>
        <v>0</v>
      </c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" customHeight="1" x14ac:dyDescent="0.15">
      <c r="A130" s="244"/>
      <c r="B130" s="188"/>
      <c r="C130" s="186"/>
      <c r="D130" s="165"/>
      <c r="E130" s="168"/>
      <c r="F130" s="167" t="str">
        <f t="shared" si="8"/>
        <v/>
      </c>
      <c r="G130" s="167" t="str">
        <f t="shared" si="3"/>
        <v/>
      </c>
      <c r="H130" s="243" t="str">
        <f t="shared" si="4"/>
        <v/>
      </c>
      <c r="I130" s="216"/>
      <c r="J130" s="217"/>
      <c r="K130" s="167" t="str">
        <f t="shared" si="5"/>
        <v/>
      </c>
      <c r="L130" s="243" t="str">
        <f t="shared" si="6"/>
        <v/>
      </c>
      <c r="M130" s="217"/>
      <c r="N130" s="98">
        <f t="shared" si="7"/>
        <v>0</v>
      </c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15">
      <c r="A131" s="264" t="s">
        <v>149</v>
      </c>
      <c r="B131" s="233"/>
      <c r="C131" s="233"/>
      <c r="D131" s="253"/>
      <c r="E131" s="99">
        <f t="shared" ref="E131:H131" si="9">SUM(E124:E130)</f>
        <v>0</v>
      </c>
      <c r="F131" s="100">
        <f t="shared" si="9"/>
        <v>0</v>
      </c>
      <c r="G131" s="100">
        <f t="shared" si="9"/>
        <v>0</v>
      </c>
      <c r="H131" s="252">
        <f t="shared" si="9"/>
        <v>0</v>
      </c>
      <c r="I131" s="233"/>
      <c r="J131" s="253"/>
      <c r="K131" s="100">
        <f t="shared" ref="K131:L131" si="10">SUM(K124:K130)</f>
        <v>0</v>
      </c>
      <c r="L131" s="252">
        <f t="shared" si="10"/>
        <v>0</v>
      </c>
      <c r="M131" s="253"/>
      <c r="N131" s="101">
        <f>SUM(N124:N130)</f>
        <v>0</v>
      </c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15">
      <c r="A132" s="254" t="s">
        <v>150</v>
      </c>
      <c r="B132" s="19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19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2" customHeight="1" x14ac:dyDescent="0.15">
      <c r="A133" s="255"/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7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3.75" customHeight="1" x14ac:dyDescent="0.15">
      <c r="A134" s="258"/>
      <c r="B134" s="259"/>
      <c r="C134" s="259"/>
      <c r="D134" s="259"/>
      <c r="E134" s="259"/>
      <c r="F134" s="259"/>
      <c r="G134" s="259"/>
      <c r="H134" s="259"/>
      <c r="I134" s="259"/>
      <c r="J134" s="259"/>
      <c r="K134" s="259"/>
      <c r="L134" s="259"/>
      <c r="M134" s="259"/>
      <c r="N134" s="260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0.5" customHeight="1" x14ac:dyDescent="0.15">
      <c r="A135" s="261" t="s">
        <v>151</v>
      </c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15">
      <c r="A136" s="102">
        <v>8</v>
      </c>
      <c r="B136" s="103" t="s">
        <v>152</v>
      </c>
      <c r="C136" s="104"/>
      <c r="D136" s="105" t="s">
        <v>153</v>
      </c>
      <c r="E136" s="106"/>
      <c r="F136" s="274" t="s">
        <v>154</v>
      </c>
      <c r="G136" s="275"/>
      <c r="H136" s="106"/>
      <c r="I136" s="106"/>
      <c r="J136" s="274" t="s">
        <v>155</v>
      </c>
      <c r="K136" s="275"/>
      <c r="L136" s="106" t="s">
        <v>156</v>
      </c>
      <c r="M136" s="103" t="s">
        <v>157</v>
      </c>
      <c r="N136" s="107" t="s">
        <v>158</v>
      </c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15">
      <c r="A137" s="102"/>
      <c r="B137" s="108">
        <f>L118</f>
        <v>0</v>
      </c>
      <c r="C137" s="109"/>
      <c r="D137" s="108">
        <f>(L119)*-1</f>
        <v>0</v>
      </c>
      <c r="E137" s="109"/>
      <c r="F137" s="276">
        <f>F131+G131+H131+K131+L131</f>
        <v>0</v>
      </c>
      <c r="G137" s="275"/>
      <c r="H137" s="109"/>
      <c r="I137" s="110"/>
      <c r="J137" s="276">
        <f>N124+N125+N126+N127+N128+N129+N130</f>
        <v>0</v>
      </c>
      <c r="K137" s="275"/>
      <c r="L137" s="111">
        <f>K4</f>
        <v>0</v>
      </c>
      <c r="M137" s="112">
        <f>B137+D137-J137</f>
        <v>0</v>
      </c>
      <c r="N137" s="113">
        <f>M137+J137</f>
        <v>0</v>
      </c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.5" customHeight="1" x14ac:dyDescent="0.15">
      <c r="A138" s="277"/>
      <c r="B138" s="19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19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15">
      <c r="A139" s="265">
        <f>B9</f>
        <v>0</v>
      </c>
      <c r="B139" s="262"/>
      <c r="C139" s="262"/>
      <c r="D139" s="262"/>
      <c r="E139" s="262"/>
      <c r="F139" s="262"/>
      <c r="G139" s="278" t="s">
        <v>159</v>
      </c>
      <c r="H139" s="233"/>
      <c r="I139" s="253"/>
      <c r="J139" s="114" t="s">
        <v>160</v>
      </c>
      <c r="K139" s="114" t="s">
        <v>161</v>
      </c>
      <c r="L139" s="115" t="s">
        <v>162</v>
      </c>
      <c r="M139" s="279" t="s">
        <v>163</v>
      </c>
      <c r="N139" s="234"/>
      <c r="O139" s="116"/>
      <c r="P139" s="116"/>
      <c r="Q139" s="116"/>
      <c r="R139" s="116"/>
      <c r="S139" s="116"/>
      <c r="T139" s="116"/>
      <c r="U139" s="116"/>
      <c r="V139" s="116"/>
      <c r="W139" s="116"/>
      <c r="X139" s="116"/>
      <c r="Y139" s="116"/>
      <c r="Z139" s="116"/>
    </row>
    <row r="140" spans="1:26" ht="13.25" customHeight="1" thickBot="1" x14ac:dyDescent="0.2">
      <c r="A140" s="266"/>
      <c r="B140" s="267"/>
      <c r="C140" s="267"/>
      <c r="D140" s="267"/>
      <c r="E140" s="267"/>
      <c r="F140" s="268"/>
      <c r="G140" s="269"/>
      <c r="H140" s="270"/>
      <c r="I140" s="271"/>
      <c r="J140" s="117" t="s">
        <v>164</v>
      </c>
      <c r="K140" s="117">
        <f>L1</f>
        <v>0</v>
      </c>
      <c r="L140" s="118" t="s">
        <v>165</v>
      </c>
      <c r="M140" s="272"/>
      <c r="N140" s="273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</row>
    <row r="141" spans="1:26" ht="13.5" hidden="1" customHeight="1" x14ac:dyDescent="0.15">
      <c r="A141" s="64" t="s">
        <v>166</v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hidden="1" customHeight="1" x14ac:dyDescent="0.15">
      <c r="A142" s="64" t="s">
        <v>167</v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hidden="1" customHeight="1" x14ac:dyDescent="0.15">
      <c r="A143" s="64" t="s">
        <v>168</v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hidden="1" customHeight="1" x14ac:dyDescent="0.15">
      <c r="A144" s="64" t="s">
        <v>169</v>
      </c>
      <c r="B144" s="3"/>
      <c r="C144" s="3"/>
      <c r="D144" s="3"/>
      <c r="E144" s="3"/>
      <c r="F144" s="3"/>
      <c r="G144" s="3"/>
      <c r="H144" s="3"/>
      <c r="I144" s="3"/>
      <c r="J144" s="119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hidden="1" customHeight="1" x14ac:dyDescent="0.15">
      <c r="A145" s="64" t="s">
        <v>170</v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hidden="1" customHeight="1" x14ac:dyDescent="0.15">
      <c r="A146" s="64" t="s">
        <v>171</v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hidden="1" customHeight="1" x14ac:dyDescent="0.15">
      <c r="A147" s="64" t="s">
        <v>172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hidden="1" customHeight="1" x14ac:dyDescent="0.15">
      <c r="A148" s="64" t="s">
        <v>173</v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hidden="1" customHeight="1" x14ac:dyDescent="0.15">
      <c r="A149" s="64" t="s">
        <v>373</v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hidden="1" customHeight="1" x14ac:dyDescent="0.15">
      <c r="A150" s="64" t="s">
        <v>174</v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hidden="1" customHeight="1" x14ac:dyDescent="0.15">
      <c r="A151" s="64" t="s">
        <v>175</v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hidden="1" customHeight="1" x14ac:dyDescent="0.15">
      <c r="A152" s="64" t="s">
        <v>176</v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hidden="1" customHeight="1" x14ac:dyDescent="0.15">
      <c r="A153" s="64" t="s">
        <v>177</v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hidden="1" customHeight="1" x14ac:dyDescent="0.15">
      <c r="A154" s="64" t="s">
        <v>178</v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hidden="1" customHeight="1" x14ac:dyDescent="0.15">
      <c r="A155" s="64" t="s">
        <v>179</v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hidden="1" customHeight="1" x14ac:dyDescent="0.15">
      <c r="A156" s="64" t="s">
        <v>180</v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hidden="1" customHeight="1" x14ac:dyDescent="0.15">
      <c r="A157" s="64" t="s">
        <v>181</v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hidden="1" customHeight="1" x14ac:dyDescent="0.15">
      <c r="A158" s="64" t="s">
        <v>182</v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hidden="1" customHeight="1" x14ac:dyDescent="0.15">
      <c r="A159" s="64" t="s">
        <v>183</v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hidden="1" customHeight="1" x14ac:dyDescent="0.15">
      <c r="A160" s="64" t="s">
        <v>184</v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hidden="1" customHeight="1" x14ac:dyDescent="0.15">
      <c r="A161" s="64" t="s">
        <v>185</v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hidden="1" customHeight="1" x14ac:dyDescent="0.15">
      <c r="A162" s="64" t="s">
        <v>186</v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hidden="1" customHeight="1" x14ac:dyDescent="0.15">
      <c r="A163" s="64" t="s">
        <v>187</v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hidden="1" customHeight="1" x14ac:dyDescent="0.15">
      <c r="A164" s="64" t="s">
        <v>188</v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hidden="1" customHeight="1" x14ac:dyDescent="0.15">
      <c r="A165" s="120" t="s">
        <v>189</v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hidden="1" customHeight="1" x14ac:dyDescent="0.15">
      <c r="A166" s="120" t="s">
        <v>190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hidden="1" customHeight="1" x14ac:dyDescent="0.15">
      <c r="A167" s="120" t="s">
        <v>191</v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hidden="1" customHeight="1" x14ac:dyDescent="0.15">
      <c r="A168" s="120" t="s">
        <v>192</v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hidden="1" customHeight="1" x14ac:dyDescent="0.15">
      <c r="A169" s="120" t="s">
        <v>193</v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hidden="1" customHeight="1" x14ac:dyDescent="0.15">
      <c r="A170" s="120" t="s">
        <v>194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hidden="1" customHeight="1" x14ac:dyDescent="0.15">
      <c r="A171" s="120" t="s">
        <v>195</v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hidden="1" customHeight="1" x14ac:dyDescent="0.15">
      <c r="A172" s="120" t="s">
        <v>196</v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hidden="1" customHeight="1" x14ac:dyDescent="0.15">
      <c r="A173" s="120" t="s">
        <v>197</v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hidden="1" customHeight="1" x14ac:dyDescent="0.15">
      <c r="A174" s="120" t="s">
        <v>198</v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hidden="1" customHeight="1" x14ac:dyDescent="0.15">
      <c r="A175" s="120" t="s">
        <v>199</v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hidden="1" customHeight="1" x14ac:dyDescent="0.15">
      <c r="A176" s="120" t="s">
        <v>193</v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hidden="1" customHeight="1" x14ac:dyDescent="0.15">
      <c r="A177" s="120" t="s">
        <v>200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hidden="1" customHeight="1" x14ac:dyDescent="0.15">
      <c r="A178" s="120" t="s">
        <v>201</v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hidden="1" customHeight="1" x14ac:dyDescent="0.15">
      <c r="A179" s="120" t="s">
        <v>202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hidden="1" customHeight="1" x14ac:dyDescent="0.15">
      <c r="A180" s="120" t="s">
        <v>203</v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hidden="1" customHeight="1" x14ac:dyDescent="0.15">
      <c r="A181" s="120" t="s">
        <v>204</v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hidden="1" customHeight="1" x14ac:dyDescent="0.15">
      <c r="A182" s="120" t="s">
        <v>183</v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hidden="1" customHeight="1" x14ac:dyDescent="0.15">
      <c r="A183" s="64" t="s">
        <v>205</v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hidden="1" customHeight="1" x14ac:dyDescent="0.15">
      <c r="A184" s="64" t="s">
        <v>206</v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hidden="1" customHeight="1" x14ac:dyDescent="0.15">
      <c r="A185" s="64" t="s">
        <v>207</v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hidden="1" customHeight="1" x14ac:dyDescent="0.15">
      <c r="A186" s="64" t="s">
        <v>208</v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hidden="1" customHeight="1" x14ac:dyDescent="0.15">
      <c r="A187" s="64" t="s">
        <v>209</v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hidden="1" customHeight="1" x14ac:dyDescent="0.15">
      <c r="A188" s="3" t="s">
        <v>210</v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hidden="1" customHeight="1" x14ac:dyDescent="0.15">
      <c r="A189" s="3" t="s">
        <v>211</v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hidden="1" customHeight="1" x14ac:dyDescent="0.15">
      <c r="A190" s="3" t="s">
        <v>212</v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hidden="1" customHeight="1" x14ac:dyDescent="0.15">
      <c r="A191" s="3" t="s">
        <v>169</v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hidden="1" customHeight="1" x14ac:dyDescent="0.15">
      <c r="A192" s="3" t="s">
        <v>213</v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hidden="1" customHeight="1" x14ac:dyDescent="0.15">
      <c r="A193" s="3" t="s">
        <v>214</v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hidden="1" customHeight="1" x14ac:dyDescent="0.15">
      <c r="A194" s="3" t="s">
        <v>215</v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hidden="1" customHeight="1" x14ac:dyDescent="0.15">
      <c r="A195" s="3" t="s">
        <v>216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hidden="1" customHeight="1" x14ac:dyDescent="0.15">
      <c r="A196" s="3" t="s">
        <v>217</v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hidden="1" customHeight="1" x14ac:dyDescent="0.15">
      <c r="A197" s="3" t="s">
        <v>205</v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hidden="1" customHeight="1" x14ac:dyDescent="0.15">
      <c r="A198" s="3" t="s">
        <v>372</v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hidden="1" customHeight="1" x14ac:dyDescent="0.15">
      <c r="A199" s="3" t="s">
        <v>207</v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hidden="1" customHeight="1" x14ac:dyDescent="0.15">
      <c r="A200" s="3" t="s">
        <v>206</v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hidden="1" customHeight="1" x14ac:dyDescent="0.15">
      <c r="A201" s="3" t="s">
        <v>218</v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hidden="1" customHeight="1" x14ac:dyDescent="0.15">
      <c r="A202" s="3" t="s">
        <v>219</v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hidden="1" customHeight="1" x14ac:dyDescent="0.15">
      <c r="A203" s="3" t="s">
        <v>215</v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hidden="1" customHeight="1" x14ac:dyDescent="0.15">
      <c r="A204" s="3" t="s">
        <v>220</v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hidden="1" customHeight="1" x14ac:dyDescent="0.15">
      <c r="A205" s="3" t="s">
        <v>221</v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hidden="1" customHeight="1" x14ac:dyDescent="0.15">
      <c r="A206" s="3" t="s">
        <v>222</v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hidden="1" customHeight="1" x14ac:dyDescent="0.15">
      <c r="A207" s="3" t="s">
        <v>223</v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hidden="1" customHeight="1" x14ac:dyDescent="0.15">
      <c r="A208" s="3" t="s">
        <v>224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hidden="1" customHeight="1" x14ac:dyDescent="0.15">
      <c r="A209" s="3" t="s">
        <v>225</v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hidden="1" customHeight="1" x14ac:dyDescent="0.15">
      <c r="A210" s="3" t="s">
        <v>226</v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hidden="1" customHeight="1" x14ac:dyDescent="0.15">
      <c r="A211" s="3" t="s">
        <v>227</v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hidden="1" customHeight="1" x14ac:dyDescent="0.15">
      <c r="A212" s="3" t="s">
        <v>169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hidden="1" customHeight="1" x14ac:dyDescent="0.15">
      <c r="A213" s="3" t="s">
        <v>228</v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hidden="1" customHeight="1" x14ac:dyDescent="0.15">
      <c r="A214" s="3" t="s">
        <v>229</v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hidden="1" customHeight="1" x14ac:dyDescent="0.1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hidden="1" customHeight="1" x14ac:dyDescent="0.15">
      <c r="A216" s="3" t="s">
        <v>230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hidden="1" customHeight="1" x14ac:dyDescent="0.15">
      <c r="A217" s="3" t="s">
        <v>229</v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hidden="1" customHeight="1" x14ac:dyDescent="0.15">
      <c r="A218" s="3" t="s">
        <v>231</v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hidden="1" customHeight="1" x14ac:dyDescent="0.15">
      <c r="A219" s="3" t="s">
        <v>232</v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hidden="1" customHeight="1" x14ac:dyDescent="0.15">
      <c r="A220" s="3" t="s">
        <v>233</v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hidden="1" customHeight="1" x14ac:dyDescent="0.15">
      <c r="A221" s="3" t="s">
        <v>234</v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hidden="1" customHeight="1" x14ac:dyDescent="0.15">
      <c r="A222" s="3" t="s">
        <v>235</v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hidden="1" customHeight="1" x14ac:dyDescent="0.15">
      <c r="A223" s="3" t="s">
        <v>236</v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hidden="1" customHeight="1" x14ac:dyDescent="0.15">
      <c r="A224" s="3" t="s">
        <v>237</v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hidden="1" customHeight="1" x14ac:dyDescent="0.15">
      <c r="A225" s="3" t="s">
        <v>238</v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hidden="1" customHeight="1" x14ac:dyDescent="0.15">
      <c r="A226" s="3" t="s">
        <v>239</v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hidden="1" customHeight="1" x14ac:dyDescent="0.15">
      <c r="A227" s="3" t="s">
        <v>240</v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hidden="1" customHeight="1" x14ac:dyDescent="0.15">
      <c r="A228" s="3" t="s">
        <v>241</v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hidden="1" customHeight="1" x14ac:dyDescent="0.15">
      <c r="A229" s="3" t="s">
        <v>242</v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hidden="1" customHeight="1" x14ac:dyDescent="0.15">
      <c r="A230" s="3" t="s">
        <v>206</v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hidden="1" customHeight="1" x14ac:dyDescent="0.15">
      <c r="A231" s="3" t="s">
        <v>243</v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hidden="1" customHeight="1" x14ac:dyDescent="0.15">
      <c r="A232" s="3" t="s">
        <v>217</v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hidden="1" customHeight="1" x14ac:dyDescent="0.15">
      <c r="A233" s="3" t="s">
        <v>244</v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hidden="1" customHeight="1" x14ac:dyDescent="0.15">
      <c r="A234" s="3" t="s">
        <v>205</v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hidden="1" customHeight="1" x14ac:dyDescent="0.15">
      <c r="A235" s="3" t="s">
        <v>195</v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hidden="1" customHeight="1" x14ac:dyDescent="0.15">
      <c r="A236" s="3" t="s">
        <v>371</v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hidden="1" customHeight="1" x14ac:dyDescent="0.15">
      <c r="A237" s="3" t="s">
        <v>244</v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hidden="1" customHeight="1" x14ac:dyDescent="0.15">
      <c r="A238" s="3" t="s">
        <v>245</v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hidden="1" customHeight="1" x14ac:dyDescent="0.15">
      <c r="A239" s="3" t="s">
        <v>246</v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hidden="1" customHeight="1" x14ac:dyDescent="0.15">
      <c r="A240" s="3" t="s">
        <v>237</v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hidden="1" customHeight="1" x14ac:dyDescent="0.15">
      <c r="A241" s="3" t="s">
        <v>247</v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hidden="1" customHeight="1" x14ac:dyDescent="0.15">
      <c r="A242" s="3" t="s">
        <v>248</v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hidden="1" customHeight="1" x14ac:dyDescent="0.15">
      <c r="A243" s="3" t="s">
        <v>249</v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hidden="1" customHeight="1" x14ac:dyDescent="0.15">
      <c r="A244" s="3" t="s">
        <v>250</v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hidden="1" customHeight="1" x14ac:dyDescent="0.15">
      <c r="A245" s="3" t="s">
        <v>251</v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hidden="1" customHeight="1" x14ac:dyDescent="0.15">
      <c r="A246" s="3" t="s">
        <v>252</v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hidden="1" customHeight="1" x14ac:dyDescent="0.15">
      <c r="A247" s="3" t="s">
        <v>253</v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hidden="1" customHeight="1" x14ac:dyDescent="0.15">
      <c r="A248" s="3" t="s">
        <v>254</v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hidden="1" customHeight="1" x14ac:dyDescent="0.15">
      <c r="A249" s="3" t="s">
        <v>255</v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hidden="1" customHeight="1" x14ac:dyDescent="0.15">
      <c r="A250" s="3" t="s">
        <v>256</v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.5" hidden="1" customHeight="1" x14ac:dyDescent="0.15">
      <c r="A251" s="3" t="s">
        <v>183</v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.5" hidden="1" customHeight="1" x14ac:dyDescent="0.15">
      <c r="A252" s="3" t="s">
        <v>257</v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.5" hidden="1" customHeight="1" x14ac:dyDescent="0.15">
      <c r="A253" s="3" t="s">
        <v>258</v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.5" hidden="1" customHeight="1" x14ac:dyDescent="0.15">
      <c r="A254" s="3" t="s">
        <v>259</v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.5" hidden="1" customHeight="1" x14ac:dyDescent="0.15">
      <c r="A255" s="3" t="s">
        <v>260</v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.5" hidden="1" customHeight="1" x14ac:dyDescent="0.15">
      <c r="A256" s="3" t="s">
        <v>261</v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.5" hidden="1" customHeight="1" x14ac:dyDescent="0.15">
      <c r="A257" s="3" t="s">
        <v>262</v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.5" hidden="1" customHeight="1" x14ac:dyDescent="0.1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.5" hidden="1" customHeight="1" x14ac:dyDescent="0.15">
      <c r="A259" s="3" t="s">
        <v>168</v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.5" hidden="1" customHeight="1" x14ac:dyDescent="0.15">
      <c r="A260" s="3" t="s">
        <v>263</v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.5" hidden="1" customHeight="1" x14ac:dyDescent="0.15">
      <c r="A261" s="3" t="s">
        <v>264</v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.5" hidden="1" customHeight="1" x14ac:dyDescent="0.15">
      <c r="A262" s="3" t="s">
        <v>265</v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.5" hidden="1" customHeight="1" x14ac:dyDescent="0.15">
      <c r="A263" s="121" t="s">
        <v>183</v>
      </c>
      <c r="B263" s="121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.5" hidden="1" customHeight="1" x14ac:dyDescent="0.1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.5" hidden="1" customHeight="1" x14ac:dyDescent="0.1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.5" hidden="1" customHeight="1" x14ac:dyDescent="0.1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.5" hidden="1" customHeight="1" x14ac:dyDescent="0.1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.5" hidden="1" customHeight="1" x14ac:dyDescent="0.15">
      <c r="A268" s="3" t="s">
        <v>266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.5" hidden="1" customHeight="1" x14ac:dyDescent="0.15">
      <c r="A269" s="3" t="s">
        <v>267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.5" hidden="1" customHeight="1" x14ac:dyDescent="0.15">
      <c r="A270" s="3" t="s">
        <v>268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.5" hidden="1" customHeight="1" x14ac:dyDescent="0.15">
      <c r="A271" s="3" t="s">
        <v>269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.5" hidden="1" customHeight="1" x14ac:dyDescent="0.15">
      <c r="A272" s="3" t="s">
        <v>270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.5" hidden="1" customHeight="1" x14ac:dyDescent="0.15">
      <c r="A273" s="3" t="s">
        <v>271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.5" hidden="1" customHeight="1" x14ac:dyDescent="0.15">
      <c r="A274" s="3" t="s">
        <v>272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.5" hidden="1" customHeight="1" x14ac:dyDescent="0.15">
      <c r="A275" s="3" t="s">
        <v>377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.5" hidden="1" customHeight="1" x14ac:dyDescent="0.15">
      <c r="A276" s="3" t="s">
        <v>273</v>
      </c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.5" hidden="1" customHeight="1" x14ac:dyDescent="0.15">
      <c r="A277" s="3" t="s">
        <v>274</v>
      </c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.5" hidden="1" customHeight="1" x14ac:dyDescent="0.15">
      <c r="A278" s="3" t="s">
        <v>275</v>
      </c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.5" hidden="1" customHeight="1" x14ac:dyDescent="0.15">
      <c r="A279" s="3" t="s">
        <v>366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.5" hidden="1" customHeight="1" x14ac:dyDescent="0.15">
      <c r="A280" s="3" t="s">
        <v>370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.5" hidden="1" customHeight="1" x14ac:dyDescent="0.15">
      <c r="A281" s="3" t="s">
        <v>374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.5" hidden="1" customHeight="1" x14ac:dyDescent="0.15">
      <c r="A282" s="3" t="s">
        <v>276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.5" hidden="1" customHeight="1" x14ac:dyDescent="0.15">
      <c r="A283" s="3" t="s">
        <v>277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.5" hidden="1" customHeight="1" x14ac:dyDescent="0.15">
      <c r="A284" s="3" t="s">
        <v>367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.5" hidden="1" customHeight="1" x14ac:dyDescent="0.15">
      <c r="A285" s="3" t="s">
        <v>278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.5" hidden="1" customHeight="1" x14ac:dyDescent="0.15">
      <c r="A286" s="3" t="s">
        <v>368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.5" hidden="1" customHeight="1" x14ac:dyDescent="0.15">
      <c r="A287" s="3" t="s">
        <v>279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.5" hidden="1" customHeight="1" x14ac:dyDescent="0.15">
      <c r="A288" s="3" t="s">
        <v>280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.5" hidden="1" customHeight="1" x14ac:dyDescent="0.15">
      <c r="A289" s="3" t="s">
        <v>281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.5" hidden="1" customHeight="1" x14ac:dyDescent="0.15">
      <c r="A290" s="3" t="s">
        <v>282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.5" hidden="1" customHeight="1" x14ac:dyDescent="0.15">
      <c r="A291" s="3" t="s">
        <v>283</v>
      </c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.5" hidden="1" customHeight="1" x14ac:dyDescent="0.15">
      <c r="A292" s="3" t="s">
        <v>369</v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.5" hidden="1" customHeight="1" x14ac:dyDescent="0.15">
      <c r="A293" s="3" t="s">
        <v>284</v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.5" hidden="1" customHeight="1" x14ac:dyDescent="0.15">
      <c r="A294" s="3" t="s">
        <v>285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.5" hidden="1" customHeight="1" x14ac:dyDescent="0.15">
      <c r="A295" s="3" t="s">
        <v>375</v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.5" hidden="1" customHeight="1" x14ac:dyDescent="0.15">
      <c r="A296" s="3" t="s">
        <v>286</v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.5" hidden="1" customHeight="1" x14ac:dyDescent="0.15">
      <c r="A297" s="3" t="s">
        <v>287</v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.5" hidden="1" customHeight="1" x14ac:dyDescent="0.15">
      <c r="A298" s="3" t="s">
        <v>288</v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.5" hidden="1" customHeight="1" x14ac:dyDescent="0.15">
      <c r="A299" s="3" t="s">
        <v>289</v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.5" hidden="1" customHeight="1" x14ac:dyDescent="0.15">
      <c r="A300" s="3" t="s">
        <v>290</v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.5" hidden="1" customHeight="1" x14ac:dyDescent="0.15">
      <c r="A301" s="3" t="s">
        <v>291</v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.5" hidden="1" customHeight="1" x14ac:dyDescent="0.15">
      <c r="A302" s="3" t="s">
        <v>292</v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.5" hidden="1" customHeight="1" x14ac:dyDescent="0.15">
      <c r="A303" s="3" t="s">
        <v>293</v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.5" hidden="1" customHeight="1" x14ac:dyDescent="0.15">
      <c r="A304" s="3" t="s">
        <v>294</v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.5" hidden="1" customHeight="1" x14ac:dyDescent="0.15">
      <c r="A305" s="3" t="s">
        <v>378</v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.5" hidden="1" customHeight="1" x14ac:dyDescent="0.15">
      <c r="A306" s="3" t="s">
        <v>376</v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.5" hidden="1" customHeight="1" x14ac:dyDescent="0.15">
      <c r="A307" s="3" t="s">
        <v>261</v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.5" hidden="1" customHeight="1" x14ac:dyDescent="0.15">
      <c r="A308" s="3" t="s">
        <v>295</v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.5" customHeight="1" x14ac:dyDescent="0.1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.5" hidden="1" customHeight="1" x14ac:dyDescent="0.15">
      <c r="A310" s="122">
        <v>0.01</v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.5" hidden="1" customHeight="1" x14ac:dyDescent="0.15">
      <c r="A311" s="122">
        <v>0.02</v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" hidden="1" customHeight="1" x14ac:dyDescent="0.15">
      <c r="A312" s="122">
        <v>0.03</v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" hidden="1" customHeight="1" x14ac:dyDescent="0.15">
      <c r="A313" s="122">
        <v>0.04</v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" hidden="1" customHeight="1" x14ac:dyDescent="0.15">
      <c r="A314" s="122">
        <v>0.05</v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" hidden="1" customHeight="1" x14ac:dyDescent="0.15">
      <c r="A315" s="122">
        <v>0.06</v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" hidden="1" customHeight="1" x14ac:dyDescent="0.15">
      <c r="A316" s="122">
        <v>7.0000000000000007E-2</v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" hidden="1" customHeight="1" x14ac:dyDescent="0.15">
      <c r="A317" s="122">
        <v>0.08</v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" hidden="1" customHeight="1" x14ac:dyDescent="0.15">
      <c r="A318" s="122">
        <v>0.09</v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" hidden="1" customHeight="1" x14ac:dyDescent="0.15">
      <c r="A319" s="122">
        <v>0.1</v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" hidden="1" customHeight="1" x14ac:dyDescent="0.15">
      <c r="A320" s="122" t="s">
        <v>296</v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" hidden="1" customHeight="1" x14ac:dyDescent="0.15">
      <c r="A321" s="3" t="s">
        <v>297</v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" hidden="1" customHeight="1" x14ac:dyDescent="0.15">
      <c r="A322" s="3" t="s">
        <v>298</v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" hidden="1" customHeight="1" x14ac:dyDescent="0.15">
      <c r="A323" s="3" t="s">
        <v>299</v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" hidden="1" customHeight="1" x14ac:dyDescent="0.15">
      <c r="A324" s="3" t="s">
        <v>300</v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" hidden="1" customHeight="1" x14ac:dyDescent="0.15">
      <c r="A325" s="3" t="s">
        <v>301</v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" hidden="1" customHeight="1" x14ac:dyDescent="0.15">
      <c r="A326" s="3" t="s">
        <v>302</v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" hidden="1" customHeight="1" x14ac:dyDescent="0.15">
      <c r="A327" s="3" t="s">
        <v>303</v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" hidden="1" customHeight="1" x14ac:dyDescent="0.15">
      <c r="A328" s="3" t="s">
        <v>304</v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" hidden="1" customHeight="1" x14ac:dyDescent="0.15">
      <c r="A329" s="3" t="s">
        <v>305</v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" hidden="1" customHeight="1" x14ac:dyDescent="0.15">
      <c r="A330" s="3" t="s">
        <v>306</v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" hidden="1" customHeight="1" x14ac:dyDescent="0.15">
      <c r="A331" s="3" t="s">
        <v>307</v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" hidden="1" customHeight="1" x14ac:dyDescent="0.15">
      <c r="A332" s="3" t="s">
        <v>308</v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" hidden="1" customHeight="1" x14ac:dyDescent="0.15">
      <c r="A333" s="3" t="s">
        <v>309</v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" hidden="1" customHeight="1" x14ac:dyDescent="0.15">
      <c r="A334" s="3" t="s">
        <v>310</v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" hidden="1" customHeight="1" x14ac:dyDescent="0.15">
      <c r="A335" s="3" t="s">
        <v>311</v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" hidden="1" customHeight="1" x14ac:dyDescent="0.15">
      <c r="A336" s="3" t="s">
        <v>312</v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" hidden="1" customHeight="1" x14ac:dyDescent="0.15">
      <c r="A337" s="3" t="s">
        <v>313</v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" hidden="1" customHeight="1" x14ac:dyDescent="0.15">
      <c r="A338" s="3" t="s">
        <v>314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" hidden="1" customHeight="1" x14ac:dyDescent="0.15">
      <c r="A339" s="3" t="s">
        <v>315</v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" hidden="1" customHeight="1" x14ac:dyDescent="0.15">
      <c r="A340" s="3" t="s">
        <v>316</v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" hidden="1" customHeight="1" x14ac:dyDescent="0.15">
      <c r="A341" s="3" t="s">
        <v>317</v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" hidden="1" customHeight="1" x14ac:dyDescent="0.15">
      <c r="A342" s="3" t="s">
        <v>318</v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" hidden="1" customHeight="1" x14ac:dyDescent="0.15">
      <c r="A343" s="3" t="s">
        <v>319</v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" hidden="1" customHeight="1" x14ac:dyDescent="0.15">
      <c r="A344" s="3" t="s">
        <v>320</v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" hidden="1" customHeight="1" x14ac:dyDescent="0.15">
      <c r="A345" s="3" t="s">
        <v>321</v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" hidden="1" customHeight="1" x14ac:dyDescent="0.15">
      <c r="A346" s="3" t="s">
        <v>322</v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" hidden="1" customHeight="1" x14ac:dyDescent="0.15">
      <c r="A347" s="3" t="s">
        <v>323</v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" hidden="1" customHeight="1" x14ac:dyDescent="0.15">
      <c r="A348" s="3" t="s">
        <v>324</v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" hidden="1" customHeight="1" x14ac:dyDescent="0.15">
      <c r="A349" s="3" t="s">
        <v>325</v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" hidden="1" customHeight="1" x14ac:dyDescent="0.15">
      <c r="A350" s="3" t="s">
        <v>326</v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" hidden="1" customHeight="1" x14ac:dyDescent="0.15">
      <c r="A351" s="3" t="s">
        <v>327</v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" hidden="1" customHeight="1" x14ac:dyDescent="0.15">
      <c r="A352" s="3" t="s">
        <v>328</v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" hidden="1" customHeight="1" x14ac:dyDescent="0.15">
      <c r="A353" s="3" t="s">
        <v>329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" hidden="1" customHeight="1" x14ac:dyDescent="0.15">
      <c r="A354" s="3" t="s">
        <v>330</v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" hidden="1" customHeight="1" x14ac:dyDescent="0.15">
      <c r="A355" s="3" t="s">
        <v>331</v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" hidden="1" customHeight="1" x14ac:dyDescent="0.15">
      <c r="A356" s="3" t="s">
        <v>332</v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" hidden="1" customHeight="1" x14ac:dyDescent="0.15">
      <c r="A357" s="3" t="s">
        <v>333</v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" hidden="1" customHeight="1" x14ac:dyDescent="0.15">
      <c r="A358" s="3" t="s">
        <v>334</v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" hidden="1" customHeight="1" x14ac:dyDescent="0.15">
      <c r="A359" s="3" t="s">
        <v>335</v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" hidden="1" customHeight="1" x14ac:dyDescent="0.15">
      <c r="A360" s="3" t="s">
        <v>336</v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" hidden="1" customHeight="1" x14ac:dyDescent="0.15">
      <c r="A361" s="3" t="s">
        <v>337</v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" hidden="1" customHeight="1" x14ac:dyDescent="0.15">
      <c r="A362" s="3" t="s">
        <v>338</v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" hidden="1" customHeight="1" x14ac:dyDescent="0.15">
      <c r="A363" s="3" t="s">
        <v>339</v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" hidden="1" customHeight="1" x14ac:dyDescent="0.15">
      <c r="A364" s="3" t="s">
        <v>340</v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" hidden="1" customHeight="1" x14ac:dyDescent="0.15">
      <c r="A365" s="3" t="s">
        <v>341</v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" hidden="1" customHeight="1" x14ac:dyDescent="0.15">
      <c r="A366" s="3" t="s">
        <v>342</v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" hidden="1" customHeight="1" x14ac:dyDescent="0.15">
      <c r="A367" s="3" t="s">
        <v>343</v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" hidden="1" customHeight="1" x14ac:dyDescent="0.15">
      <c r="A368" s="3" t="s">
        <v>344</v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" hidden="1" customHeight="1" x14ac:dyDescent="0.15">
      <c r="A369" s="3" t="s">
        <v>345</v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" hidden="1" customHeight="1" x14ac:dyDescent="0.15">
      <c r="A370" s="3" t="s">
        <v>346</v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" hidden="1" customHeight="1" x14ac:dyDescent="0.15">
      <c r="A371" s="3" t="s">
        <v>347</v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" hidden="1" customHeight="1" x14ac:dyDescent="0.15">
      <c r="A372" s="3" t="s">
        <v>348</v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" hidden="1" customHeight="1" x14ac:dyDescent="0.15">
      <c r="A373" s="3" t="s">
        <v>349</v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" hidden="1" customHeight="1" x14ac:dyDescent="0.15">
      <c r="A374" s="3" t="s">
        <v>350</v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" hidden="1" customHeight="1" x14ac:dyDescent="0.15">
      <c r="A375" s="3" t="s">
        <v>351</v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" hidden="1" customHeight="1" x14ac:dyDescent="0.15">
      <c r="A376" s="3" t="s">
        <v>352</v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" hidden="1" customHeight="1" x14ac:dyDescent="0.15">
      <c r="A377" s="3" t="s">
        <v>351</v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" hidden="1" customHeight="1" x14ac:dyDescent="0.15">
      <c r="A378" s="3" t="s">
        <v>352</v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" hidden="1" customHeight="1" x14ac:dyDescent="0.15">
      <c r="A379" s="3" t="s">
        <v>351</v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" hidden="1" customHeight="1" x14ac:dyDescent="0.15">
      <c r="A380" s="3" t="s">
        <v>352</v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" hidden="1" customHeight="1" x14ac:dyDescent="0.15">
      <c r="A381" s="3" t="s">
        <v>351</v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" hidden="1" customHeight="1" x14ac:dyDescent="0.15">
      <c r="A382" s="3" t="s">
        <v>352</v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" hidden="1" customHeight="1" x14ac:dyDescent="0.15">
      <c r="A383" s="120" t="s">
        <v>353</v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" hidden="1" customHeight="1" x14ac:dyDescent="0.15">
      <c r="A384" s="120" t="s">
        <v>354</v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" hidden="1" customHeight="1" x14ac:dyDescent="0.15">
      <c r="A385" s="120" t="s">
        <v>355</v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" hidden="1" customHeight="1" x14ac:dyDescent="0.15">
      <c r="A386" s="120" t="s">
        <v>356</v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" hidden="1" customHeight="1" x14ac:dyDescent="0.15">
      <c r="A387" s="120" t="s">
        <v>357</v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" hidden="1" customHeight="1" x14ac:dyDescent="0.15">
      <c r="A388" s="120" t="s">
        <v>358</v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" hidden="1" customHeight="1" x14ac:dyDescent="0.15">
      <c r="A389" s="120" t="s">
        <v>359</v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" hidden="1" customHeight="1" x14ac:dyDescent="0.15">
      <c r="A390" s="120" t="s">
        <v>360</v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" hidden="1" customHeight="1" x14ac:dyDescent="0.15">
      <c r="A391" s="120" t="s">
        <v>361</v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" hidden="1" customHeight="1" x14ac:dyDescent="0.15">
      <c r="A392" s="120" t="s">
        <v>362</v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" hidden="1" customHeight="1" x14ac:dyDescent="0.15">
      <c r="A393" s="3" t="s">
        <v>170</v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" hidden="1" customHeight="1" x14ac:dyDescent="0.15">
      <c r="A394" s="3" t="s">
        <v>171</v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" hidden="1" customHeight="1" x14ac:dyDescent="0.15">
      <c r="A395" s="3" t="s">
        <v>363</v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" hidden="1" customHeight="1" x14ac:dyDescent="0.15">
      <c r="A396" s="3" t="s">
        <v>364</v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" hidden="1" customHeight="1" x14ac:dyDescent="0.15">
      <c r="A397" s="3" t="s">
        <v>365</v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" hidden="1" customHeight="1" x14ac:dyDescent="0.15">
      <c r="A398" s="3" t="s">
        <v>264</v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" hidden="1" customHeight="1" x14ac:dyDescent="0.15">
      <c r="A399" s="3" t="s">
        <v>170</v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" hidden="1" customHeight="1" x14ac:dyDescent="0.15">
      <c r="A400" s="3" t="s">
        <v>171</v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" hidden="1" customHeight="1" x14ac:dyDescent="0.1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" hidden="1" customHeight="1" x14ac:dyDescent="0.15">
      <c r="A402" s="3" t="s">
        <v>261</v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" hidden="1" customHeight="1" x14ac:dyDescent="0.15">
      <c r="A403" s="3" t="s">
        <v>295</v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" hidden="1" customHeight="1" x14ac:dyDescent="0.1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" hidden="1" customHeight="1" x14ac:dyDescent="0.1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" hidden="1" customHeight="1" x14ac:dyDescent="0.1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" hidden="1" customHeight="1" x14ac:dyDescent="0.1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" hidden="1" customHeight="1" x14ac:dyDescent="0.1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" hidden="1" customHeight="1" x14ac:dyDescent="0.1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" hidden="1" customHeight="1" x14ac:dyDescent="0.1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" hidden="1" customHeight="1" x14ac:dyDescent="0.1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" customHeight="1" x14ac:dyDescent="0.1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" customHeight="1" x14ac:dyDescent="0.1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" customHeight="1" x14ac:dyDescent="0.1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" customHeight="1" x14ac:dyDescent="0.1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" customHeight="1" x14ac:dyDescent="0.1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" customHeight="1" x14ac:dyDescent="0.1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" customHeight="1" x14ac:dyDescent="0.1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" customHeight="1" x14ac:dyDescent="0.1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" customHeight="1" x14ac:dyDescent="0.1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" customHeight="1" x14ac:dyDescent="0.1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" customHeight="1" x14ac:dyDescent="0.1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" customHeight="1" x14ac:dyDescent="0.1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" customHeight="1" x14ac:dyDescent="0.1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" customHeight="1" x14ac:dyDescent="0.1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" customHeight="1" x14ac:dyDescent="0.1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" customHeight="1" x14ac:dyDescent="0.1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" customHeight="1" x14ac:dyDescent="0.1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" customHeight="1" x14ac:dyDescent="0.1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" customHeight="1" x14ac:dyDescent="0.1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" customHeight="1" x14ac:dyDescent="0.1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" customHeight="1" x14ac:dyDescent="0.1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" customHeight="1" x14ac:dyDescent="0.1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" customHeight="1" x14ac:dyDescent="0.1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" customHeight="1" x14ac:dyDescent="0.1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" customHeight="1" x14ac:dyDescent="0.1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" customHeight="1" x14ac:dyDescent="0.1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1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1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1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1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1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1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1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1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1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1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1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1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1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1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1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1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1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1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1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1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1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1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1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1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1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1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1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1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1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1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1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1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1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1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1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1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1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1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1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1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1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1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1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1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1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1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1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1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1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1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1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1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1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1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1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1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1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1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1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1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1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1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1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1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1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1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1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1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1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1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1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1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1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1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1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1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1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1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1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1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1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1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1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1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1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1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1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1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1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1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1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1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1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1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1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1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1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1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1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1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1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1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1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1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1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1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1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1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1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1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1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1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1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1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1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1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1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1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1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1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1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1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1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1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1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1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1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1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1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1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1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1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1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1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1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1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1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1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1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1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1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1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1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1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1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1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1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1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1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1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1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1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1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1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1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1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1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1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1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1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1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1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1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1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1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1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1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1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1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1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1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1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1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1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1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1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1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1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1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1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1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1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1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1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1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1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1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1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1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1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1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1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1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1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1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1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1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1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1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1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1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1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1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1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1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1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1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1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1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1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1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1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1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1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1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1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1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1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1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1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1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1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1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1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1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1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1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1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1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1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1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1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1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1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1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1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1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1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1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1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1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1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1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1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1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1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1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1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1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1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1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1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1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1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1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1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1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1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1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1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1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1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1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1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1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1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1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1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1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1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1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1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1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1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1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1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1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1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1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1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1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1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1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1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1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1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1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1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1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1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1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1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1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1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1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1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1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1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1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1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1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1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1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1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1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1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1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1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1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1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1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1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1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1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1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1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1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1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1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1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1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1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1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1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1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1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1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1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1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1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1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1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1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1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1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1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1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1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1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1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1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1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1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1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1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1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1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1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1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1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1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1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1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1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1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1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1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1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1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1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1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1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1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1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1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1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1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1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1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1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1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1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1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1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1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1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1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1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1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1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1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1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1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1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1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1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1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1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1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1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1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1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1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1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1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1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1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1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1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1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1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1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1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1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1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1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1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1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1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1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1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1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1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1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1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1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1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1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1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1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1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1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1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1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1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1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1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1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1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1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1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1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1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1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1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1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1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1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1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1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1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1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1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1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1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1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1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1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1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1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1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1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1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1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1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1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1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1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1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1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1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1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1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1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1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1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1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1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1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1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1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1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1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1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1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1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1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 x14ac:dyDescent="0.1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 x14ac:dyDescent="0.1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 x14ac:dyDescent="0.1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 x14ac:dyDescent="0.1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 x14ac:dyDescent="0.1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 x14ac:dyDescent="0.1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 x14ac:dyDescent="0.1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 x14ac:dyDescent="0.1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 x14ac:dyDescent="0.1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 x14ac:dyDescent="0.1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 x14ac:dyDescent="0.1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 x14ac:dyDescent="0.1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 x14ac:dyDescent="0.1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 x14ac:dyDescent="0.1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 x14ac:dyDescent="0.1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 x14ac:dyDescent="0.1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 x14ac:dyDescent="0.1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 x14ac:dyDescent="0.1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 x14ac:dyDescent="0.1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 x14ac:dyDescent="0.1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 x14ac:dyDescent="0.1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 x14ac:dyDescent="0.1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 x14ac:dyDescent="0.1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 x14ac:dyDescent="0.1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 x14ac:dyDescent="0.1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 x14ac:dyDescent="0.1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 x14ac:dyDescent="0.1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 x14ac:dyDescent="0.1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 x14ac:dyDescent="0.1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 x14ac:dyDescent="0.1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 x14ac:dyDescent="0.1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 x14ac:dyDescent="0.1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 x14ac:dyDescent="0.1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 x14ac:dyDescent="0.1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 x14ac:dyDescent="0.1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 x14ac:dyDescent="0.1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 x14ac:dyDescent="0.1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 x14ac:dyDescent="0.1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 x14ac:dyDescent="0.1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 x14ac:dyDescent="0.1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 x14ac:dyDescent="0.1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 x14ac:dyDescent="0.1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 x14ac:dyDescent="0.1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 x14ac:dyDescent="0.1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 x14ac:dyDescent="0.1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 x14ac:dyDescent="0.1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 x14ac:dyDescent="0.1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 x14ac:dyDescent="0.1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 x14ac:dyDescent="0.1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 x14ac:dyDescent="0.1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 x14ac:dyDescent="0.1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 x14ac:dyDescent="0.1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 x14ac:dyDescent="0.1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 x14ac:dyDescent="0.1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 x14ac:dyDescent="0.1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 x14ac:dyDescent="0.1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 x14ac:dyDescent="0.1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 x14ac:dyDescent="0.1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 x14ac:dyDescent="0.1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 x14ac:dyDescent="0.1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 x14ac:dyDescent="0.1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 x14ac:dyDescent="0.1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 x14ac:dyDescent="0.1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 x14ac:dyDescent="0.1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 x14ac:dyDescent="0.1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 x14ac:dyDescent="0.1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 x14ac:dyDescent="0.1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 x14ac:dyDescent="0.1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 x14ac:dyDescent="0.1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 x14ac:dyDescent="0.1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 x14ac:dyDescent="0.1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 x14ac:dyDescent="0.1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 x14ac:dyDescent="0.1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 x14ac:dyDescent="0.1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 x14ac:dyDescent="0.1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 x14ac:dyDescent="0.1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 x14ac:dyDescent="0.1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 x14ac:dyDescent="0.1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 x14ac:dyDescent="0.1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 x14ac:dyDescent="0.1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</sheetData>
  <mergeCells count="314">
    <mergeCell ref="A81:N81"/>
    <mergeCell ref="A82:I82"/>
    <mergeCell ref="J82:N82"/>
    <mergeCell ref="J83:N83"/>
    <mergeCell ref="A83:H83"/>
    <mergeCell ref="A84:F84"/>
    <mergeCell ref="H84:I84"/>
    <mergeCell ref="J84:M84"/>
    <mergeCell ref="C85:G85"/>
    <mergeCell ref="H85:I85"/>
    <mergeCell ref="K85:N85"/>
    <mergeCell ref="K86:N86"/>
    <mergeCell ref="K87:N87"/>
    <mergeCell ref="K88:N88"/>
    <mergeCell ref="A85:B85"/>
    <mergeCell ref="A86:B86"/>
    <mergeCell ref="C86:G86"/>
    <mergeCell ref="H86:I86"/>
    <mergeCell ref="A87:B87"/>
    <mergeCell ref="C87:G87"/>
    <mergeCell ref="H87:I87"/>
    <mergeCell ref="A88:B88"/>
    <mergeCell ref="C88:G88"/>
    <mergeCell ref="H88:I88"/>
    <mergeCell ref="E76:K76"/>
    <mergeCell ref="L76:N76"/>
    <mergeCell ref="A77:N77"/>
    <mergeCell ref="A78:N78"/>
    <mergeCell ref="A79:N79"/>
    <mergeCell ref="A80:G80"/>
    <mergeCell ref="K80:N80"/>
    <mergeCell ref="B74:D74"/>
    <mergeCell ref="E74:K74"/>
    <mergeCell ref="A75:N75"/>
    <mergeCell ref="B76:D76"/>
    <mergeCell ref="F63:J63"/>
    <mergeCell ref="F64:J64"/>
    <mergeCell ref="F65:J65"/>
    <mergeCell ref="F66:J66"/>
    <mergeCell ref="F67:J67"/>
    <mergeCell ref="F68:J68"/>
    <mergeCell ref="A69:N69"/>
    <mergeCell ref="B70:D70"/>
    <mergeCell ref="L70:N70"/>
    <mergeCell ref="L63:N63"/>
    <mergeCell ref="L64:N64"/>
    <mergeCell ref="L65:N65"/>
    <mergeCell ref="A71:N71"/>
    <mergeCell ref="B72:D72"/>
    <mergeCell ref="E72:K72"/>
    <mergeCell ref="L72:N72"/>
    <mergeCell ref="A73:N73"/>
    <mergeCell ref="L74:N74"/>
    <mergeCell ref="A66:B66"/>
    <mergeCell ref="A67:B67"/>
    <mergeCell ref="A68:B68"/>
    <mergeCell ref="D68:E68"/>
    <mergeCell ref="L67:N67"/>
    <mergeCell ref="L68:N68"/>
    <mergeCell ref="L66:N66"/>
    <mergeCell ref="A61:B61"/>
    <mergeCell ref="D66:E66"/>
    <mergeCell ref="D67:E67"/>
    <mergeCell ref="D61:E61"/>
    <mergeCell ref="D62:E62"/>
    <mergeCell ref="D63:E63"/>
    <mergeCell ref="D64:E64"/>
    <mergeCell ref="D65:E65"/>
    <mergeCell ref="A62:B62"/>
    <mergeCell ref="A63:B63"/>
    <mergeCell ref="A64:B64"/>
    <mergeCell ref="A65:B65"/>
    <mergeCell ref="D60:E60"/>
    <mergeCell ref="F53:J53"/>
    <mergeCell ref="A54:B54"/>
    <mergeCell ref="F54:J54"/>
    <mergeCell ref="F55:J55"/>
    <mergeCell ref="F56:J56"/>
    <mergeCell ref="F57:J57"/>
    <mergeCell ref="F58:J58"/>
    <mergeCell ref="F59:J59"/>
    <mergeCell ref="F60:J60"/>
    <mergeCell ref="A55:B55"/>
    <mergeCell ref="A56:B56"/>
    <mergeCell ref="A57:B57"/>
    <mergeCell ref="A58:B58"/>
    <mergeCell ref="A59:B59"/>
    <mergeCell ref="A60:B60"/>
    <mergeCell ref="F61:J61"/>
    <mergeCell ref="F62:J62"/>
    <mergeCell ref="M41:N41"/>
    <mergeCell ref="M42:N42"/>
    <mergeCell ref="M44:N44"/>
    <mergeCell ref="M45:N45"/>
    <mergeCell ref="G42:I42"/>
    <mergeCell ref="G43:I43"/>
    <mergeCell ref="G44:I44"/>
    <mergeCell ref="A49:N50"/>
    <mergeCell ref="C51:N51"/>
    <mergeCell ref="D52:E52"/>
    <mergeCell ref="F52:J52"/>
    <mergeCell ref="L52:N52"/>
    <mergeCell ref="L60:N60"/>
    <mergeCell ref="L61:N61"/>
    <mergeCell ref="L62:N62"/>
    <mergeCell ref="A51:B52"/>
    <mergeCell ref="A53:B53"/>
    <mergeCell ref="D53:E53"/>
    <mergeCell ref="A43:B43"/>
    <mergeCell ref="A45:J45"/>
    <mergeCell ref="L53:N53"/>
    <mergeCell ref="L54:N54"/>
    <mergeCell ref="L55:N55"/>
    <mergeCell ref="L56:N56"/>
    <mergeCell ref="L57:N57"/>
    <mergeCell ref="L58:N58"/>
    <mergeCell ref="L59:N59"/>
    <mergeCell ref="H46:J46"/>
    <mergeCell ref="K46:M46"/>
    <mergeCell ref="K47:N47"/>
    <mergeCell ref="A47:J47"/>
    <mergeCell ref="A48:N48"/>
    <mergeCell ref="A46:B46"/>
    <mergeCell ref="C46:G46"/>
    <mergeCell ref="D54:E54"/>
    <mergeCell ref="D55:E55"/>
    <mergeCell ref="D56:E56"/>
    <mergeCell ref="D57:E57"/>
    <mergeCell ref="D58:E58"/>
    <mergeCell ref="D59:E59"/>
    <mergeCell ref="A39:J39"/>
    <mergeCell ref="G40:I40"/>
    <mergeCell ref="M40:N40"/>
    <mergeCell ref="G41:I41"/>
    <mergeCell ref="A42:B42"/>
    <mergeCell ref="M43:N43"/>
    <mergeCell ref="A30:N30"/>
    <mergeCell ref="A31:N31"/>
    <mergeCell ref="A34:J34"/>
    <mergeCell ref="K34:N34"/>
    <mergeCell ref="A37:C37"/>
    <mergeCell ref="B38:C38"/>
    <mergeCell ref="F38:G38"/>
    <mergeCell ref="A35:J35"/>
    <mergeCell ref="K35:N35"/>
    <mergeCell ref="E36:F36"/>
    <mergeCell ref="H36:J36"/>
    <mergeCell ref="M36:N36"/>
    <mergeCell ref="F37:G37"/>
    <mergeCell ref="M37:N37"/>
    <mergeCell ref="M38:N38"/>
    <mergeCell ref="A32:N33"/>
    <mergeCell ref="A18:B18"/>
    <mergeCell ref="C18:G18"/>
    <mergeCell ref="G26:I26"/>
    <mergeCell ref="G27:I27"/>
    <mergeCell ref="G28:I28"/>
    <mergeCell ref="G29:I29"/>
    <mergeCell ref="G23:I23"/>
    <mergeCell ref="G24:I24"/>
    <mergeCell ref="G25:I25"/>
    <mergeCell ref="A19:N19"/>
    <mergeCell ref="A20:N20"/>
    <mergeCell ref="A21:N21"/>
    <mergeCell ref="G22:I22"/>
    <mergeCell ref="L22:M22"/>
    <mergeCell ref="A14:B14"/>
    <mergeCell ref="C14:G14"/>
    <mergeCell ref="A15:B15"/>
    <mergeCell ref="C15:G15"/>
    <mergeCell ref="A16:B16"/>
    <mergeCell ref="C16:G16"/>
    <mergeCell ref="A17:B17"/>
    <mergeCell ref="C17:D17"/>
    <mergeCell ref="F17:G17"/>
    <mergeCell ref="A1:H2"/>
    <mergeCell ref="J1:K2"/>
    <mergeCell ref="L1:L2"/>
    <mergeCell ref="A3:N3"/>
    <mergeCell ref="A4:C4"/>
    <mergeCell ref="D4:E4"/>
    <mergeCell ref="L4:M4"/>
    <mergeCell ref="K8:L8"/>
    <mergeCell ref="K9:L9"/>
    <mergeCell ref="H4:J4"/>
    <mergeCell ref="A5:N5"/>
    <mergeCell ref="A6:D6"/>
    <mergeCell ref="E6:M6"/>
    <mergeCell ref="A7:N7"/>
    <mergeCell ref="B8:I8"/>
    <mergeCell ref="B9:I9"/>
    <mergeCell ref="A121:N121"/>
    <mergeCell ref="L122:M123"/>
    <mergeCell ref="N122:N123"/>
    <mergeCell ref="L124:M124"/>
    <mergeCell ref="H122:J123"/>
    <mergeCell ref="H124:J124"/>
    <mergeCell ref="A119:F120"/>
    <mergeCell ref="A122:C123"/>
    <mergeCell ref="D122:D123"/>
    <mergeCell ref="F122:F123"/>
    <mergeCell ref="G122:G123"/>
    <mergeCell ref="K122:K123"/>
    <mergeCell ref="A124:C124"/>
    <mergeCell ref="H112:J114"/>
    <mergeCell ref="A113:G114"/>
    <mergeCell ref="A115:N115"/>
    <mergeCell ref="A116:N116"/>
    <mergeCell ref="G120:K120"/>
    <mergeCell ref="L120:N120"/>
    <mergeCell ref="A117:N117"/>
    <mergeCell ref="A118:F118"/>
    <mergeCell ref="G118:K118"/>
    <mergeCell ref="L118:N118"/>
    <mergeCell ref="G119:K119"/>
    <mergeCell ref="L119:N119"/>
    <mergeCell ref="A112:G112"/>
    <mergeCell ref="A139:F139"/>
    <mergeCell ref="A140:F140"/>
    <mergeCell ref="G140:I140"/>
    <mergeCell ref="M140:N140"/>
    <mergeCell ref="F136:G136"/>
    <mergeCell ref="J136:K136"/>
    <mergeCell ref="F137:G137"/>
    <mergeCell ref="J137:K137"/>
    <mergeCell ref="A138:N138"/>
    <mergeCell ref="G139:I139"/>
    <mergeCell ref="M139:N139"/>
    <mergeCell ref="L131:M131"/>
    <mergeCell ref="H127:J127"/>
    <mergeCell ref="H128:J128"/>
    <mergeCell ref="H129:J129"/>
    <mergeCell ref="H130:J130"/>
    <mergeCell ref="H131:J131"/>
    <mergeCell ref="A132:N132"/>
    <mergeCell ref="A133:N134"/>
    <mergeCell ref="A135:N135"/>
    <mergeCell ref="A131:D131"/>
    <mergeCell ref="A127:C127"/>
    <mergeCell ref="L128:M128"/>
    <mergeCell ref="A128:C128"/>
    <mergeCell ref="A129:C129"/>
    <mergeCell ref="A95:N95"/>
    <mergeCell ref="C96:G96"/>
    <mergeCell ref="H96:K96"/>
    <mergeCell ref="L96:N96"/>
    <mergeCell ref="A97:N97"/>
    <mergeCell ref="L126:M126"/>
    <mergeCell ref="L127:M127"/>
    <mergeCell ref="L129:M129"/>
    <mergeCell ref="L130:M130"/>
    <mergeCell ref="A130:C130"/>
    <mergeCell ref="A125:C125"/>
    <mergeCell ref="H125:J125"/>
    <mergeCell ref="L125:M125"/>
    <mergeCell ref="A126:C126"/>
    <mergeCell ref="H126:J126"/>
    <mergeCell ref="A106:N106"/>
    <mergeCell ref="A107:D107"/>
    <mergeCell ref="E107:N107"/>
    <mergeCell ref="A108:N108"/>
    <mergeCell ref="G109:N109"/>
    <mergeCell ref="G110:N110"/>
    <mergeCell ref="A111:N111"/>
    <mergeCell ref="A109:F109"/>
    <mergeCell ref="A110:F110"/>
    <mergeCell ref="L92:M92"/>
    <mergeCell ref="A91:G91"/>
    <mergeCell ref="H91:I91"/>
    <mergeCell ref="A92:D92"/>
    <mergeCell ref="E92:F92"/>
    <mergeCell ref="H92:I92"/>
    <mergeCell ref="A103:N104"/>
    <mergeCell ref="A105:N105"/>
    <mergeCell ref="J93:N93"/>
    <mergeCell ref="H101:N101"/>
    <mergeCell ref="C98:G98"/>
    <mergeCell ref="H98:K98"/>
    <mergeCell ref="L98:N98"/>
    <mergeCell ref="H100:K100"/>
    <mergeCell ref="A99:J99"/>
    <mergeCell ref="C100:G100"/>
    <mergeCell ref="L100:N100"/>
    <mergeCell ref="C101:G102"/>
    <mergeCell ref="B101:B102"/>
    <mergeCell ref="H102:K102"/>
    <mergeCell ref="L102:N102"/>
    <mergeCell ref="A96:B96"/>
    <mergeCell ref="A98:B98"/>
    <mergeCell ref="A94:N94"/>
    <mergeCell ref="P6:R9"/>
    <mergeCell ref="A89:B89"/>
    <mergeCell ref="E89:F89"/>
    <mergeCell ref="A90:B90"/>
    <mergeCell ref="C90:E90"/>
    <mergeCell ref="H89:I89"/>
    <mergeCell ref="H90:I90"/>
    <mergeCell ref="K90:L90"/>
    <mergeCell ref="J91:N91"/>
    <mergeCell ref="A10:N10"/>
    <mergeCell ref="B11:F11"/>
    <mergeCell ref="J11:M11"/>
    <mergeCell ref="A12:B12"/>
    <mergeCell ref="C12:G12"/>
    <mergeCell ref="H12:J12"/>
    <mergeCell ref="K12:N12"/>
    <mergeCell ref="K14:N14"/>
    <mergeCell ref="K15:N15"/>
    <mergeCell ref="K16:N16"/>
    <mergeCell ref="K17:L17"/>
    <mergeCell ref="K18:N18"/>
    <mergeCell ref="A13:B13"/>
    <mergeCell ref="C13:G13"/>
    <mergeCell ref="K13:N13"/>
  </mergeCells>
  <dataValidations xWindow="1179" yWindow="295" count="37">
    <dataValidation type="list" allowBlank="1" showInputMessage="1" showErrorMessage="1" prompt="MANDATORY - Valid entries are _x000a_Lease, Lease Renewal, SubLease, Referral, Consulting, Other (explain)" sqref="D4" xr:uid="{00000000-0002-0000-0000-000000000000}">
      <formula1>$A$188:$A$194</formula1>
    </dataValidation>
    <dataValidation type="list" allowBlank="1" showErrorMessage="1" prompt="Enter A, B, C or D" sqref="K23" xr:uid="{00000000-0002-0000-0000-000001000000}">
      <formula1>$A$165:$A$182</formula1>
    </dataValidation>
    <dataValidation type="list" allowBlank="1" showInputMessage="1" showErrorMessage="1" promptTitle="Representation" prompt="Listing_x000a_Procuring_x000a_Both = This agent was on both sides of the transaction_x000a_Referral = You are the referring agt or this agt is getting a referral _x000a_Other= this agent had nothing to do with the deal but money is due them for another re" sqref="D124" xr:uid="{00000000-0002-0000-0000-000002000000}">
      <formula1>$A$259:$A$264</formula1>
    </dataValidation>
    <dataValidation type="list" allowBlank="1" showErrorMessage="1" sqref="E22" xr:uid="{00000000-0002-0000-0000-000003000000}">
      <formula1>$A$238:$A$240</formula1>
    </dataValidation>
    <dataValidation type="list" allowBlank="1" showErrorMessage="1" sqref="E29" xr:uid="{00000000-0002-0000-0000-000004000000}">
      <formula1>$A$393:$A$395</formula1>
    </dataValidation>
    <dataValidation type="decimal" operator="equal" allowBlank="1" showInputMessage="1" showErrorMessage="1" prompt="Lease Term - This lease term should match the lease term above. Please be sure you have included your months of free rent in the schedule. Thank you" sqref="D68" xr:uid="{00000000-0002-0000-0000-000005000000}">
      <formula1>E38</formula1>
    </dataValidation>
    <dataValidation type="list" allowBlank="1" showInputMessage="1" showErrorMessage="1" prompt="Representation - Listing_x000a_Procurring_x000a_Both_x000a_Other= Agent referred deal only or agent had nothing to do with the deal but money was due them for another reason _x000a_EXPLAIN OTHER IN THE SPACE BELOW_x000a_" sqref="D125:D127" xr:uid="{00000000-0002-0000-0000-000006000000}">
      <formula1>$A$259:$A$264</formula1>
    </dataValidation>
    <dataValidation type="list" allowBlank="1" showInputMessage="1" showErrorMessage="1" prompt="INVOICE - Would you like us to invoice the listing Agent?_x000a_Y or N" sqref="N84" xr:uid="{00000000-0002-0000-0000-000007000000}">
      <formula1>$A$307:$A$309</formula1>
    </dataValidation>
    <dataValidation type="list" allowBlank="1" showInputMessage="1" showErrorMessage="1" prompt="CLOSE LISTING? - Do you want to Close this listing? Remove sign, multiples, website, etc.?_x000a_" sqref="N4" xr:uid="{00000000-0002-0000-0000-000008000000}">
      <formula1>$A$399:$A$401</formula1>
    </dataValidation>
    <dataValidation type="list" allowBlank="1" showInputMessage="1" showErrorMessage="1" prompt="Check Drop Down Box" sqref="M40" xr:uid="{00000000-0002-0000-0000-000009000000}">
      <formula1>$A$366:$A$368</formula1>
    </dataValidation>
    <dataValidation type="list" allowBlank="1" showErrorMessage="1" sqref="M29 K28:K29 C29" xr:uid="{00000000-0002-0000-0000-00000A000000}">
      <formula1>$A$145:$A$146</formula1>
    </dataValidation>
    <dataValidation type="list" allowBlank="1" showInputMessage="1" showErrorMessage="1" prompt="Does this Agent get a Co-op or Referral check from Lee?_x000a_Yes or No_x000a_" sqref="E92" xr:uid="{00000000-0002-0000-0000-00000C000000}">
      <formula1>$A$256:$A$258</formula1>
    </dataValidation>
    <dataValidation type="list" allowBlank="1" showErrorMessage="1" sqref="K25" xr:uid="{00000000-0002-0000-0000-00000D000000}">
      <formula1>$A$396:$A$398</formula1>
    </dataValidation>
    <dataValidation type="decimal" allowBlank="1" showInputMessage="1" showErrorMessage="1" prompt="Enter the starting lease rate of the transaction (ex. 1.10)_x000a_" sqref="C40" xr:uid="{00000000-0002-0000-0000-00000E000000}">
      <formula1>0.05</formula1>
      <formula2>1000</formula2>
    </dataValidation>
    <dataValidation type="list" allowBlank="1" showInputMessage="1" showErrorMessage="1" prompt="INVOICE - Would you like to invoice the Lessee/Buyer?_x000a_Y or N_x000a_" sqref="N11" xr:uid="{00000000-0002-0000-0000-00000F000000}">
      <formula1>$A$399:$A$401</formula1>
    </dataValidation>
    <dataValidation type="list" allowBlank="1" sqref="C85 K85" xr:uid="{00000000-0002-0000-0000-000010000000}">
      <formula1>$A$320:$A$365</formula1>
    </dataValidation>
    <dataValidation type="list" allowBlank="1" showInputMessage="1" showErrorMessage="1" prompt="INVOICE - Will a check be coming from Escrow?_x000a_" sqref="N46" xr:uid="{00000000-0002-0000-0000-000012000000}">
      <formula1>$A$393:$A$394</formula1>
    </dataValidation>
    <dataValidation type="list" allowBlank="1" showInputMessage="1" showErrorMessage="1" prompt="Is this a CURRENT Lee &amp; Associates Newport Beach ACTIVE listing?_x000a_Y or N_x000a__x000a_" sqref="K4" xr:uid="{00000000-0002-0000-0000-000013000000}">
      <formula1>$A$399:$A$401</formula1>
    </dataValidation>
    <dataValidation type="list" allowBlank="1" sqref="C26" xr:uid="{00000000-0002-0000-0000-000014000000}">
      <formula1>$A$369:$A$371</formula1>
    </dataValidation>
    <dataValidation type="list" allowBlank="1" showInputMessage="1" showErrorMessage="1" prompt="Representation - Listing_x000a_Procurring_x000a_Both_x000a_Referring= agent referred the deal only_x000a_Other = this agent had nothing to do with the deal but money was due them from another deal - please explain below_x000a_" sqref="D128:D130" xr:uid="{00000000-0002-0000-0000-000015000000}">
      <formula1>$A$259:$A$264</formula1>
    </dataValidation>
    <dataValidation type="list" allowBlank="1" showInputMessage="1" showErrorMessage="1" prompt="Valid entries are _x000a_Industrial, Office, Retail, Land, Investment, Self Storage, Other" sqref="G4" xr:uid="{00000000-0002-0000-0000-000016000000}">
      <formula1>$A$195:$A$203</formula1>
    </dataValidation>
    <dataValidation type="list" allowBlank="1" showInputMessage="1" showErrorMessage="1" prompt="INVOICE - Would you like to invoice the Lessor/Seller?_x000a_Y or N" sqref="G11" xr:uid="{00000000-0002-0000-0000-000018000000}">
      <formula1>$A$399:$A$401</formula1>
    </dataValidation>
    <dataValidation type="list" allowBlank="1" showErrorMessage="1" sqref="G22" xr:uid="{00000000-0002-0000-0000-000019000000}">
      <formula1>$A$383:$A$392</formula1>
    </dataValidation>
    <dataValidation type="list" allowBlank="1" showErrorMessage="1" prompt="Enter A, B, C or D" sqref="C25" xr:uid="{00000000-0002-0000-0000-00001A000000}">
      <formula1>$A$160:$A$164</formula1>
    </dataValidation>
    <dataValidation type="list" allowBlank="1" showInputMessage="1" showErrorMessage="1" prompt="Yes or No" sqref="O50:O51" xr:uid="{00000000-0002-0000-0000-00001B000000}">
      <formula1>$A$145:$A$146</formula1>
    </dataValidation>
    <dataValidation type="list" allowBlank="1" showInputMessage="1" showErrorMessage="1" prompt="Valid entries are N, NNN, MG, G, FSG" sqref="C41 C43" xr:uid="{00000000-0002-0000-0000-00001F000000}">
      <formula1>$A$147:$A$150</formula1>
    </dataValidation>
    <dataValidation type="list" allowBlank="1" showInputMessage="1" showErrorMessage="1" prompt="If &quot;Y&quot;, only fill in the Listing Agent information below. There is no need to fill out both sides if both sides were represented by the same person._x000a__x000a_" sqref="J80" xr:uid="{00000000-0002-0000-0000-000020000000}">
      <formula1>$A$393:$A$394</formula1>
    </dataValidation>
    <dataValidation type="list" allowBlank="1" showInputMessage="1" showErrorMessage="1" prompt="INVOICE - Would you like us to invoice the listing Agent? _x000a_Y or N" sqref="G84" xr:uid="{00000000-0002-0000-0000-000021000000}">
      <formula1>$A$307:$A$309</formula1>
    </dataValidation>
    <dataValidation type="date" allowBlank="1" showInputMessage="1" showErrorMessage="1" prompt="Enter the start date of the transaction _x000a_(ex. 12/31/03)" sqref="E36 H36 B38" xr:uid="{00000000-0002-0000-0000-000022000000}">
      <formula1>36526</formula1>
      <formula2>54789</formula2>
    </dataValidation>
    <dataValidation type="list" allowBlank="1" showInputMessage="1" showErrorMessage="1" prompt="Does this Agent get a Co-op or Referral check from Lee?_x000a_Yes or No_x000a_" sqref="L92" xr:uid="{00000000-0002-0000-0000-000023000000}">
      <formula1>$A$307:$A$309</formula1>
    </dataValidation>
    <dataValidation type="list" allowBlank="1" showErrorMessage="1" sqref="E23" xr:uid="{30B44FE0-17F3-4D7D-B220-834FDFCF42C7}">
      <formula1>$A$152:$A$159</formula1>
    </dataValidation>
    <dataValidation type="list" allowBlank="1" showInputMessage="1" showErrorMessage="1" sqref="G27" xr:uid="{8F19C8EE-6DF8-47A9-8794-A215D61751C3}">
      <formula1>$A$147:$A$150</formula1>
    </dataValidation>
    <dataValidation type="list" allowBlank="1" showErrorMessage="1" prompt="Enter A, B, C or D" sqref="G23" xr:uid="{BD8A7E14-898B-475C-9447-D5A9AB1AF480}">
      <formula1>$A$218:$A$223</formula1>
    </dataValidation>
    <dataValidation type="list" allowBlank="1" showInputMessage="1" showErrorMessage="1" prompt="CONFIDENTIAL DEAL? - Is this a confidential deal when it comes to Marketing?_x000a_Y or N" sqref="L1:L2" xr:uid="{78624489-CE8D-475F-BCB7-D507D8EBC942}">
      <formula1>$A$307:$A$309</formula1>
    </dataValidation>
    <dataValidation type="list" allowBlank="1" showInputMessage="1" showErrorMessage="1" prompt="Close to the finish line! - Please be sure that ALL required information is completed before submitting._x000a__x000a_Any missing information will cause a delay in the processing of your invoice. _x000a__x000a_Thank you" sqref="A124" xr:uid="{00000000-0002-0000-0000-000011000000}">
      <formula1>$A$266:$A$306</formula1>
    </dataValidation>
    <dataValidation type="list" allowBlank="1" showInputMessage="1" showErrorMessage="1" prompt="This field is for Lee Newport agents ONLY_x000a_" sqref="A125:A130" xr:uid="{00000000-0002-0000-0000-00001C000000}">
      <formula1>$A$266:$A$306</formula1>
    </dataValidation>
    <dataValidation type="list" allowBlank="1" sqref="C86" xr:uid="{00000000-0002-0000-0000-00001E000000}">
      <formula1>$A$266:$A$306</formula1>
    </dataValidation>
  </dataValidations>
  <printOptions horizontalCentered="1"/>
  <pageMargins left="0" right="0" top="0.01" bottom="0" header="0" footer="0"/>
  <pageSetup scale="87" orientation="portrait" r:id="rId1"/>
  <rowBreaks count="1" manualBreakCount="1">
    <brk id="77" max="13" man="1"/>
  </rowBreaks>
  <ignoredErrors>
    <ignoredError sqref="M37:N38" unlockedFormula="1"/>
    <ignoredError sqref="F38" evalError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BE09C09BB4C90092241A85E8D31" ma:contentTypeVersion="10" ma:contentTypeDescription="Create a new document." ma:contentTypeScope="" ma:versionID="df2d61bddfafbe8cf7c251bddd79cc96">
  <xsd:schema xmlns:xsd="http://www.w3.org/2001/XMLSchema" xmlns:xs="http://www.w3.org/2001/XMLSchema" xmlns:p="http://schemas.microsoft.com/office/2006/metadata/properties" xmlns:ns2="d16f8ff1-e4a8-453b-bbaa-0385528a9a62" xmlns:ns3="b261e606-cfb6-48f6-bf83-d838d829d9bc" targetNamespace="http://schemas.microsoft.com/office/2006/metadata/properties" ma:root="true" ma:fieldsID="54d7511fe60f174a9a1c1bc22515fed7" ns2:_="" ns3:_="">
    <xsd:import namespace="d16f8ff1-e4a8-453b-bbaa-0385528a9a62"/>
    <xsd:import namespace="b261e606-cfb6-48f6-bf83-d838d829d9b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f8ff1-e4a8-453b-bbaa-0385528a9a6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61e606-cfb6-48f6-bf83-d838d829d9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d16f8ff1-e4a8-453b-bbaa-0385528a9a62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29CB114-995A-4A7C-821F-326C539BE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f8ff1-e4a8-453b-bbaa-0385528a9a62"/>
    <ds:schemaRef ds:uri="b261e606-cfb6-48f6-bf83-d838d829d9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DAE277-57D3-4926-8858-B3634EA88E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C578AB-7E02-4769-9AC2-D47C9B4D1021}">
  <ds:schemaRefs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  <ds:schemaRef ds:uri="b261e606-cfb6-48f6-bf83-d838d829d9bc"/>
    <ds:schemaRef ds:uri="d16f8ff1-e4a8-453b-bbaa-0385528a9a6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Kane</dc:creator>
  <cp:keywords/>
  <dc:description/>
  <cp:lastModifiedBy>Taylor Barnes</cp:lastModifiedBy>
  <cp:revision/>
  <dcterms:created xsi:type="dcterms:W3CDTF">2022-06-23T00:36:31Z</dcterms:created>
  <dcterms:modified xsi:type="dcterms:W3CDTF">2026-04-11T03:55:59Z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0x01010061C72BE09C09BB4C90092241A85E8D31</vt:lpwstr>
  </property>
  <property fmtid="{D5CDD505-2E9C-101B-9397-08002B2CF9AE}" pid="3" name="MediaServiceImageTags">
    <vt:lpwstr/>
  </property>
  <property fmtid="{D5CDD505-2E9C-101B-9397-08002B2CF9AE}" pid="4" name="Order">
    <vt:r8>3467000</vt:r8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</Properties>
</file>